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ЭтаКнига"/>
  <mc:AlternateContent xmlns:mc="http://schemas.openxmlformats.org/markup-compatibility/2006">
    <mc:Choice Requires="x15">
      <x15ac:absPath xmlns:x15ac="http://schemas.microsoft.com/office/spreadsheetml/2010/11/ac" url="C:\Users\Вероника\Desktop\Pokemon Collection ENG\"/>
    </mc:Choice>
  </mc:AlternateContent>
  <xr:revisionPtr revIDLastSave="0" documentId="13_ncr:1_{92ADB239-ACE6-4D11-A1FB-ADA87B344DBE}" xr6:coauthVersionLast="47" xr6:coauthVersionMax="47" xr10:uidLastSave="{00000000-0000-0000-0000-000000000000}"/>
  <bookViews>
    <workbookView xWindow="-120" yWindow="-120" windowWidth="28110" windowHeight="16440" activeTab="2" xr2:uid="{00000000-000D-0000-FFFF-FFFF00000000}"/>
  </bookViews>
  <sheets>
    <sheet name="Main Sheet" sheetId="1" r:id="rId1"/>
    <sheet name="Pokemons" sheetId="3" state="hidden" r:id="rId2"/>
    <sheet name="Dashboard" sheetId="5" r:id="rId3"/>
    <sheet name="Lists" sheetId="6" r:id="rId4"/>
    <sheet name="Analytics" sheetId="4" r:id="rId5"/>
  </sheets>
  <externalReferences>
    <externalReference r:id="rId6"/>
  </externalReferences>
  <definedNames>
    <definedName name="NativeTimeline_Purchase_Date">#N/A</definedName>
    <definedName name="Slicer_Category">#N/A</definedName>
    <definedName name="ГдеКуплен" localSheetId="3">Lists!$C$2:$C$1048576</definedName>
    <definedName name="ГдеКуплен">[1]Списки!$C$2:$C$1048576</definedName>
    <definedName name="Категория" localSheetId="3">Lists!$A$2:$A$1048576</definedName>
    <definedName name="Категория">[1]Списки!$A$2:$A$1048576</definedName>
    <definedName name="Покемоны" localSheetId="3">Pokemons!$A$2:$A$1097</definedName>
    <definedName name="Покемоны">Pokemons!$A$2:$A$1097</definedName>
    <definedName name="Производитель" localSheetId="3">Lists!$B$2:$B$1048576</definedName>
    <definedName name="Производитель">[1]Списки!$B$2:$B$1048576</definedName>
    <definedName name="Тэг" localSheetId="3">Lists!$D$2:$D$3</definedName>
    <definedName name="Тэг">[1]Списки!$D$2:$D$3</definedName>
  </definedNames>
  <calcPr calcId="191029"/>
  <pivotCaches>
    <pivotCache cacheId="7"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0" i="5" l="1"/>
  <c r="G20" i="5"/>
  <c r="F21" i="5"/>
  <c r="F22" i="5"/>
  <c r="D22" i="5"/>
  <c r="D21" i="5"/>
  <c r="D20" i="5"/>
  <c r="G22" i="5"/>
  <c r="G21" i="5"/>
  <c r="G15" i="5"/>
  <c r="G9" i="5"/>
  <c r="G13" i="5"/>
  <c r="G5" i="5"/>
  <c r="G7" i="5"/>
  <c r="G3" i="5"/>
  <c r="G1" i="5"/>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<sst xmlns="http://schemas.openxmlformats.org/spreadsheetml/2006/main" count="1180" uniqueCount="1165">
  <si>
    <t>№</t>
  </si>
  <si>
    <t>Banpresto</t>
  </si>
  <si>
    <t>Bandai</t>
  </si>
  <si>
    <t>Pokemon Center</t>
  </si>
  <si>
    <t>San-Ei</t>
  </si>
  <si>
    <t>Hasbro</t>
  </si>
  <si>
    <t>+</t>
  </si>
  <si>
    <t>Покемоны</t>
  </si>
  <si>
    <t>abomasnow-mega</t>
  </si>
  <si>
    <t>abomasnow</t>
  </si>
  <si>
    <t>abra</t>
  </si>
  <si>
    <t>absol-mega</t>
  </si>
  <si>
    <t>absol</t>
  </si>
  <si>
    <t>accelgor</t>
  </si>
  <si>
    <t>aegislash-blade</t>
  </si>
  <si>
    <t>aegislash</t>
  </si>
  <si>
    <t>aerodactyl-mega</t>
  </si>
  <si>
    <t>aerodactyl</t>
  </si>
  <si>
    <t>aggron-mega</t>
  </si>
  <si>
    <t>aggron</t>
  </si>
  <si>
    <t>aipom</t>
  </si>
  <si>
    <t>alakazam-mega</t>
  </si>
  <si>
    <t>alakazam</t>
  </si>
  <si>
    <t>alomomola</t>
  </si>
  <si>
    <t>altaria-mega</t>
  </si>
  <si>
    <t>altaria</t>
  </si>
  <si>
    <t>amaura</t>
  </si>
  <si>
    <t>ambipom</t>
  </si>
  <si>
    <t>amoonguss</t>
  </si>
  <si>
    <t>ampharos-mega</t>
  </si>
  <si>
    <t>ampharos</t>
  </si>
  <si>
    <t>anorith</t>
  </si>
  <si>
    <t>araquanid</t>
  </si>
  <si>
    <t>arbok</t>
  </si>
  <si>
    <t>arcanine</t>
  </si>
  <si>
    <t>arceus-bug</t>
  </si>
  <si>
    <t>arceus-dark</t>
  </si>
  <si>
    <t>arceus-dragon</t>
  </si>
  <si>
    <t>arceus-electric</t>
  </si>
  <si>
    <t>arceus-fairy</t>
  </si>
  <si>
    <t>arceus-fighting</t>
  </si>
  <si>
    <t>arceus-fire</t>
  </si>
  <si>
    <t>arceus-flying</t>
  </si>
  <si>
    <t>arceus-ghost</t>
  </si>
  <si>
    <t>arceus-grass</t>
  </si>
  <si>
    <t>arceus-ground</t>
  </si>
  <si>
    <t>arceus-ice</t>
  </si>
  <si>
    <t>arceus-poison</t>
  </si>
  <si>
    <t>arceus-psychic</t>
  </si>
  <si>
    <t>arceus-rock</t>
  </si>
  <si>
    <t>arceus-steel</t>
  </si>
  <si>
    <t>arceus-unknown</t>
  </si>
  <si>
    <t>arceus-water</t>
  </si>
  <si>
    <t>arceus</t>
  </si>
  <si>
    <t>archen</t>
  </si>
  <si>
    <t>archeops</t>
  </si>
  <si>
    <t>ariados</t>
  </si>
  <si>
    <t>armaldo</t>
  </si>
  <si>
    <t>aromatisse</t>
  </si>
  <si>
    <t>aron</t>
  </si>
  <si>
    <t>articuno</t>
  </si>
  <si>
    <t>audino-mega</t>
  </si>
  <si>
    <t>audino</t>
  </si>
  <si>
    <t>aurorus</t>
  </si>
  <si>
    <t>avalugg</t>
  </si>
  <si>
    <t>axew</t>
  </si>
  <si>
    <t>azelf</t>
  </si>
  <si>
    <t>azumarill</t>
  </si>
  <si>
    <t>azurill</t>
  </si>
  <si>
    <t>bagon</t>
  </si>
  <si>
    <t>baltoy</t>
  </si>
  <si>
    <t>banette-mega</t>
  </si>
  <si>
    <t>banette</t>
  </si>
  <si>
    <t>barbaracle</t>
  </si>
  <si>
    <t>barboach</t>
  </si>
  <si>
    <t>basculin-blue-striped</t>
  </si>
  <si>
    <t>basculin</t>
  </si>
  <si>
    <t>bastiodon</t>
  </si>
  <si>
    <t>bayleef</t>
  </si>
  <si>
    <t>beartic</t>
  </si>
  <si>
    <t>beautifly</t>
  </si>
  <si>
    <t>beedrill-mega</t>
  </si>
  <si>
    <t>beedrill</t>
  </si>
  <si>
    <t>beheeyem</t>
  </si>
  <si>
    <t>beldum</t>
  </si>
  <si>
    <t>bellossom</t>
  </si>
  <si>
    <t>bellsprout</t>
  </si>
  <si>
    <t>bergmite</t>
  </si>
  <si>
    <t>bewear</t>
  </si>
  <si>
    <t>bibarel</t>
  </si>
  <si>
    <t>bidoof</t>
  </si>
  <si>
    <t>binacle</t>
  </si>
  <si>
    <t>bisharp</t>
  </si>
  <si>
    <t>blacephalon</t>
  </si>
  <si>
    <t>blastoise-mega</t>
  </si>
  <si>
    <t>blastoise</t>
  </si>
  <si>
    <t>blaziken-mega</t>
  </si>
  <si>
    <t>blaziken</t>
  </si>
  <si>
    <t>blissey</t>
  </si>
  <si>
    <t>blitzle</t>
  </si>
  <si>
    <t>boldore</t>
  </si>
  <si>
    <t>bonsly</t>
  </si>
  <si>
    <t>bouffalant</t>
  </si>
  <si>
    <t>bounsweet</t>
  </si>
  <si>
    <t>braixen</t>
  </si>
  <si>
    <t>braviary</t>
  </si>
  <si>
    <t>breloom</t>
  </si>
  <si>
    <t>brionne</t>
  </si>
  <si>
    <t>bronzong</t>
  </si>
  <si>
    <t>bronzor</t>
  </si>
  <si>
    <t>bruxish</t>
  </si>
  <si>
    <t>budew</t>
  </si>
  <si>
    <t>buizel</t>
  </si>
  <si>
    <t>bulbasaur</t>
  </si>
  <si>
    <t>buneary</t>
  </si>
  <si>
    <t>bunnelby</t>
  </si>
  <si>
    <t>burmy-sandy</t>
  </si>
  <si>
    <t>burmy-trash</t>
  </si>
  <si>
    <t>burmy</t>
  </si>
  <si>
    <t>butterfree</t>
  </si>
  <si>
    <t>buzzwole</t>
  </si>
  <si>
    <t>cacnea</t>
  </si>
  <si>
    <t>cacturne</t>
  </si>
  <si>
    <t>camerupt-mega</t>
  </si>
  <si>
    <t>camerupt</t>
  </si>
  <si>
    <t>carbink</t>
  </si>
  <si>
    <t>carnivine</t>
  </si>
  <si>
    <t>carracosta</t>
  </si>
  <si>
    <t>carvanha</t>
  </si>
  <si>
    <t>cascoon</t>
  </si>
  <si>
    <t>castform-rainy</t>
  </si>
  <si>
    <t>castform-snowy</t>
  </si>
  <si>
    <t>castform-sunny</t>
  </si>
  <si>
    <t>castform</t>
  </si>
  <si>
    <t>caterpie</t>
  </si>
  <si>
    <t>celebi</t>
  </si>
  <si>
    <t>celesteela</t>
  </si>
  <si>
    <t>chandelure</t>
  </si>
  <si>
    <t>chansey</t>
  </si>
  <si>
    <t>charizard-mega-x</t>
  </si>
  <si>
    <t>charizard-mega-y</t>
  </si>
  <si>
    <t>charizard</t>
  </si>
  <si>
    <t>charjabug</t>
  </si>
  <si>
    <t>charmander</t>
  </si>
  <si>
    <t>charmeleon</t>
  </si>
  <si>
    <t>chatot</t>
  </si>
  <si>
    <t>cherrim-sunshine</t>
  </si>
  <si>
    <t>cherrim</t>
  </si>
  <si>
    <t>cherubi</t>
  </si>
  <si>
    <t>chesnaught</t>
  </si>
  <si>
    <t>chespin</t>
  </si>
  <si>
    <t>chikorita</t>
  </si>
  <si>
    <t>chimchar</t>
  </si>
  <si>
    <t>chimecho</t>
  </si>
  <si>
    <t>chinchou</t>
  </si>
  <si>
    <t>chingling</t>
  </si>
  <si>
    <t>cinccino</t>
  </si>
  <si>
    <t>clamperl</t>
  </si>
  <si>
    <t>clauncher</t>
  </si>
  <si>
    <t>clawitzer</t>
  </si>
  <si>
    <t>claydol</t>
  </si>
  <si>
    <t>clefable</t>
  </si>
  <si>
    <t>clefairy</t>
  </si>
  <si>
    <t>cleffa</t>
  </si>
  <si>
    <t>cloyster</t>
  </si>
  <si>
    <t>cobalion</t>
  </si>
  <si>
    <t>cofagrigus</t>
  </si>
  <si>
    <t>combee</t>
  </si>
  <si>
    <t>combusken</t>
  </si>
  <si>
    <t>comfey</t>
  </si>
  <si>
    <t>conkeldurr</t>
  </si>
  <si>
    <t>corphish</t>
  </si>
  <si>
    <t>corsola</t>
  </si>
  <si>
    <t>cosmoem</t>
  </si>
  <si>
    <t>cosmog</t>
  </si>
  <si>
    <t>cottonee</t>
  </si>
  <si>
    <t>crabominable</t>
  </si>
  <si>
    <t>crabrawler</t>
  </si>
  <si>
    <t>cradily</t>
  </si>
  <si>
    <t>cranidos</t>
  </si>
  <si>
    <t>crawdaunt</t>
  </si>
  <si>
    <t>cresselia</t>
  </si>
  <si>
    <t>croagunk</t>
  </si>
  <si>
    <t>crobat</t>
  </si>
  <si>
    <t>croconaw</t>
  </si>
  <si>
    <t>crustle</t>
  </si>
  <si>
    <t>cryogonal</t>
  </si>
  <si>
    <t>cubchoo</t>
  </si>
  <si>
    <t>cubone</t>
  </si>
  <si>
    <t>cutiefly</t>
  </si>
  <si>
    <t>cyndaquil</t>
  </si>
  <si>
    <t>darkrai</t>
  </si>
  <si>
    <t>darmanitan-zen</t>
  </si>
  <si>
    <t>darmanitan</t>
  </si>
  <si>
    <t>dartrix</t>
  </si>
  <si>
    <t>darumaka</t>
  </si>
  <si>
    <t>decidueye</t>
  </si>
  <si>
    <t>dedenne</t>
  </si>
  <si>
    <t>deerling-autumn</t>
  </si>
  <si>
    <t>deerling-summer</t>
  </si>
  <si>
    <t>deerling-winter</t>
  </si>
  <si>
    <t>deerling</t>
  </si>
  <si>
    <t>deino</t>
  </si>
  <si>
    <t>delcatty</t>
  </si>
  <si>
    <t>delibird</t>
  </si>
  <si>
    <t>delphox</t>
  </si>
  <si>
    <t>deoxys-attack</t>
  </si>
  <si>
    <t>deoxys-defense</t>
  </si>
  <si>
    <t>deoxys-speed</t>
  </si>
  <si>
    <t>deoxys</t>
  </si>
  <si>
    <t>dewgong</t>
  </si>
  <si>
    <t>dewott</t>
  </si>
  <si>
    <t>dewpider</t>
  </si>
  <si>
    <t>dhelmise</t>
  </si>
  <si>
    <t>dialga</t>
  </si>
  <si>
    <t>diancie-mega</t>
  </si>
  <si>
    <t>diancie</t>
  </si>
  <si>
    <t>diggersby</t>
  </si>
  <si>
    <t>diglett-alola</t>
  </si>
  <si>
    <t>diglett</t>
  </si>
  <si>
    <t>ditto</t>
  </si>
  <si>
    <t>dodrio</t>
  </si>
  <si>
    <t>doduo</t>
  </si>
  <si>
    <t>donphan</t>
  </si>
  <si>
    <t>doublade</t>
  </si>
  <si>
    <t>dragalge</t>
  </si>
  <si>
    <t>dragonair</t>
  </si>
  <si>
    <t>dragonite</t>
  </si>
  <si>
    <t>drampa</t>
  </si>
  <si>
    <t>drapion</t>
  </si>
  <si>
    <t>dratini</t>
  </si>
  <si>
    <t>drifblim</t>
  </si>
  <si>
    <t>drifloon</t>
  </si>
  <si>
    <t>drilbur</t>
  </si>
  <si>
    <t>drowzee</t>
  </si>
  <si>
    <t>druddigon</t>
  </si>
  <si>
    <t>ducklett</t>
  </si>
  <si>
    <t>dugtrio-alola</t>
  </si>
  <si>
    <t>dugtrio</t>
  </si>
  <si>
    <t>dunsparce</t>
  </si>
  <si>
    <t>duosion</t>
  </si>
  <si>
    <t>durant</t>
  </si>
  <si>
    <t>dusclops</t>
  </si>
  <si>
    <t>dusknoir</t>
  </si>
  <si>
    <t>duskull</t>
  </si>
  <si>
    <t>dustox</t>
  </si>
  <si>
    <t>dwebble</t>
  </si>
  <si>
    <t>eelektrik</t>
  </si>
  <si>
    <t>eelektross</t>
  </si>
  <si>
    <t>eevee-starter</t>
  </si>
  <si>
    <t>eevee</t>
  </si>
  <si>
    <t>ekans</t>
  </si>
  <si>
    <t>electabuzz</t>
  </si>
  <si>
    <t>electivire</t>
  </si>
  <si>
    <t>electrike</t>
  </si>
  <si>
    <t>electrode</t>
  </si>
  <si>
    <t>elekid</t>
  </si>
  <si>
    <t>elgyem</t>
  </si>
  <si>
    <t>emboar</t>
  </si>
  <si>
    <t>emolga</t>
  </si>
  <si>
    <t>empoleon</t>
  </si>
  <si>
    <t>entei</t>
  </si>
  <si>
    <t>escavalier</t>
  </si>
  <si>
    <t>espeon</t>
  </si>
  <si>
    <t>espurr</t>
  </si>
  <si>
    <t>excadrill</t>
  </si>
  <si>
    <t>exeggcute</t>
  </si>
  <si>
    <t>exeggutor-alola</t>
  </si>
  <si>
    <t>exeggutor</t>
  </si>
  <si>
    <t>exploud</t>
  </si>
  <si>
    <t>farfetchd</t>
  </si>
  <si>
    <t>fearow</t>
  </si>
  <si>
    <t>feebas</t>
  </si>
  <si>
    <t>fennekin</t>
  </si>
  <si>
    <t>feraligatr</t>
  </si>
  <si>
    <t>ferroseed</t>
  </si>
  <si>
    <t>ferrothorn</t>
  </si>
  <si>
    <t>finneon</t>
  </si>
  <si>
    <t>flaaffy</t>
  </si>
  <si>
    <t>flabebe-blue</t>
  </si>
  <si>
    <t>flabebe-orange</t>
  </si>
  <si>
    <t>flabebe-white</t>
  </si>
  <si>
    <t>flabebe-yellow</t>
  </si>
  <si>
    <t>flabebe</t>
  </si>
  <si>
    <t>flareon</t>
  </si>
  <si>
    <t>fletchinder</t>
  </si>
  <si>
    <t>fletchling</t>
  </si>
  <si>
    <t>floatzel</t>
  </si>
  <si>
    <t>floette-blue</t>
  </si>
  <si>
    <t>floette-eternal</t>
  </si>
  <si>
    <t>floette-orange</t>
  </si>
  <si>
    <t>floette-white</t>
  </si>
  <si>
    <t>floette-yellow</t>
  </si>
  <si>
    <t>floette</t>
  </si>
  <si>
    <t>florges-blue</t>
  </si>
  <si>
    <t>florges-orange</t>
  </si>
  <si>
    <t>florges-white</t>
  </si>
  <si>
    <t>florges-yellow</t>
  </si>
  <si>
    <t>florges</t>
  </si>
  <si>
    <t>flygon</t>
  </si>
  <si>
    <t>fomantis</t>
  </si>
  <si>
    <t>foongus</t>
  </si>
  <si>
    <t>forretress</t>
  </si>
  <si>
    <t>fraxure</t>
  </si>
  <si>
    <t>frillish-female</t>
  </si>
  <si>
    <t>frillish</t>
  </si>
  <si>
    <t>froakie</t>
  </si>
  <si>
    <t>frogadier</t>
  </si>
  <si>
    <t>froslass</t>
  </si>
  <si>
    <t>furfrou-dandy</t>
  </si>
  <si>
    <t>furfrou-debutante</t>
  </si>
  <si>
    <t>furfrou-diamond</t>
  </si>
  <si>
    <t>furfrou-heart</t>
  </si>
  <si>
    <t>furfrou-kabuki</t>
  </si>
  <si>
    <t>furfrou-la-reine</t>
  </si>
  <si>
    <t>furfrou-matron</t>
  </si>
  <si>
    <t>furfrou-pharaoh</t>
  </si>
  <si>
    <t>furfrou-star</t>
  </si>
  <si>
    <t>furfrou</t>
  </si>
  <si>
    <t>furret</t>
  </si>
  <si>
    <t>gabite</t>
  </si>
  <si>
    <t>gallade-mega</t>
  </si>
  <si>
    <t>gallade</t>
  </si>
  <si>
    <t>galvantula</t>
  </si>
  <si>
    <t>garbodor</t>
  </si>
  <si>
    <t>garchomp-mega</t>
  </si>
  <si>
    <t>garchomp</t>
  </si>
  <si>
    <t>gardevoir-mega</t>
  </si>
  <si>
    <t>gardevoir</t>
  </si>
  <si>
    <t>gastly</t>
  </si>
  <si>
    <t>gastrodon-east</t>
  </si>
  <si>
    <t>gastrodon</t>
  </si>
  <si>
    <t>genesect-burn</t>
  </si>
  <si>
    <t>genesect-chill</t>
  </si>
  <si>
    <t>genesect-douse</t>
  </si>
  <si>
    <t>genesect-shock</t>
  </si>
  <si>
    <t>genesect-standard</t>
  </si>
  <si>
    <t>genesect</t>
  </si>
  <si>
    <t>gengar-mega</t>
  </si>
  <si>
    <t>gengar</t>
  </si>
  <si>
    <t>geodude-alola</t>
  </si>
  <si>
    <t>geodude</t>
  </si>
  <si>
    <t>gible</t>
  </si>
  <si>
    <t>gigalith</t>
  </si>
  <si>
    <t>girafarig</t>
  </si>
  <si>
    <t>giratina-origin</t>
  </si>
  <si>
    <t>giratina</t>
  </si>
  <si>
    <t>glaceon</t>
  </si>
  <si>
    <t>glalie-mega</t>
  </si>
  <si>
    <t>glalie</t>
  </si>
  <si>
    <t>glameow</t>
  </si>
  <si>
    <t>gligar</t>
  </si>
  <si>
    <t>gliscor</t>
  </si>
  <si>
    <t>gloom</t>
  </si>
  <si>
    <t>gogoat</t>
  </si>
  <si>
    <t>golbat</t>
  </si>
  <si>
    <t>goldeen</t>
  </si>
  <si>
    <t>golduck</t>
  </si>
  <si>
    <t>golem-alola</t>
  </si>
  <si>
    <t>golem</t>
  </si>
  <si>
    <t>golett</t>
  </si>
  <si>
    <t>golisopod</t>
  </si>
  <si>
    <t>golurk</t>
  </si>
  <si>
    <t>goodra</t>
  </si>
  <si>
    <t>goomy</t>
  </si>
  <si>
    <t>gorebyss</t>
  </si>
  <si>
    <t>gothita</t>
  </si>
  <si>
    <t>gothitelle</t>
  </si>
  <si>
    <t>gothorita</t>
  </si>
  <si>
    <t>gourgeist-large</t>
  </si>
  <si>
    <t>gourgeist-small</t>
  </si>
  <si>
    <t>gourgeist-super</t>
  </si>
  <si>
    <t>gourgeist</t>
  </si>
  <si>
    <t>granbull</t>
  </si>
  <si>
    <t>graveler-alola</t>
  </si>
  <si>
    <t>graveler</t>
  </si>
  <si>
    <t>greninja-ash</t>
  </si>
  <si>
    <t>greninja</t>
  </si>
  <si>
    <t>grimer-alola</t>
  </si>
  <si>
    <t>grimer</t>
  </si>
  <si>
    <t>grotle</t>
  </si>
  <si>
    <t>groudon-primal</t>
  </si>
  <si>
    <t>groudon</t>
  </si>
  <si>
    <t>grovyle</t>
  </si>
  <si>
    <t>growlithe</t>
  </si>
  <si>
    <t>grubbin</t>
  </si>
  <si>
    <t>grumpig</t>
  </si>
  <si>
    <t>gulpin</t>
  </si>
  <si>
    <t>gumshoos</t>
  </si>
  <si>
    <t>gurdurr</t>
  </si>
  <si>
    <t>guzzlord</t>
  </si>
  <si>
    <t>gyarados-mega</t>
  </si>
  <si>
    <t>gyarados</t>
  </si>
  <si>
    <t>hakamo-o</t>
  </si>
  <si>
    <t>happiny</t>
  </si>
  <si>
    <t>hariyama</t>
  </si>
  <si>
    <t>haunter</t>
  </si>
  <si>
    <t>hawlucha</t>
  </si>
  <si>
    <t>haxorus</t>
  </si>
  <si>
    <t>heatmor</t>
  </si>
  <si>
    <t>heatran</t>
  </si>
  <si>
    <t>heliolisk</t>
  </si>
  <si>
    <t>helioptile</t>
  </si>
  <si>
    <t>heracross-mega</t>
  </si>
  <si>
    <t>heracross</t>
  </si>
  <si>
    <t>herdier</t>
  </si>
  <si>
    <t>hippopotas-female</t>
  </si>
  <si>
    <t>hippopotas</t>
  </si>
  <si>
    <t>hippowdon-female</t>
  </si>
  <si>
    <t>hippowdon</t>
  </si>
  <si>
    <t>hitmonchan</t>
  </si>
  <si>
    <t>hitmonlee</t>
  </si>
  <si>
    <t>hitmontop</t>
  </si>
  <si>
    <t>ho-oh</t>
  </si>
  <si>
    <t>honchkrow</t>
  </si>
  <si>
    <t>honedge</t>
  </si>
  <si>
    <t>hoopa-unbound</t>
  </si>
  <si>
    <t>hoopa</t>
  </si>
  <si>
    <t>hoothoot</t>
  </si>
  <si>
    <t>hoppip</t>
  </si>
  <si>
    <t>horsea</t>
  </si>
  <si>
    <t>houndoom-mega</t>
  </si>
  <si>
    <t>houndoom</t>
  </si>
  <si>
    <t>houndour</t>
  </si>
  <si>
    <t>huntail</t>
  </si>
  <si>
    <t>hydreigon</t>
  </si>
  <si>
    <t>hypno</t>
  </si>
  <si>
    <t>igglybuff</t>
  </si>
  <si>
    <t>illumise</t>
  </si>
  <si>
    <t>incineroar</t>
  </si>
  <si>
    <t>infernape</t>
  </si>
  <si>
    <t>inkay</t>
  </si>
  <si>
    <t>ivysaur</t>
  </si>
  <si>
    <t>jangmo-o</t>
  </si>
  <si>
    <t>jellicent-female</t>
  </si>
  <si>
    <t>jellicent</t>
  </si>
  <si>
    <t>jigglypuff</t>
  </si>
  <si>
    <t>jirachi</t>
  </si>
  <si>
    <t>jolteon</t>
  </si>
  <si>
    <t>joltik</t>
  </si>
  <si>
    <t>jumpluff</t>
  </si>
  <si>
    <t>jynx</t>
  </si>
  <si>
    <t>kabuto</t>
  </si>
  <si>
    <t>kabutops</t>
  </si>
  <si>
    <t>kadabra</t>
  </si>
  <si>
    <t>kakuna</t>
  </si>
  <si>
    <t>kangaskhan-mega</t>
  </si>
  <si>
    <t>kangaskhan</t>
  </si>
  <si>
    <t>karrablast</t>
  </si>
  <si>
    <t>kartana</t>
  </si>
  <si>
    <t>kecleon</t>
  </si>
  <si>
    <t>keldeo-resolute</t>
  </si>
  <si>
    <t>keldeo</t>
  </si>
  <si>
    <t>kingdra</t>
  </si>
  <si>
    <t>kingler</t>
  </si>
  <si>
    <t>kirlia</t>
  </si>
  <si>
    <t>klang</t>
  </si>
  <si>
    <t>klefki</t>
  </si>
  <si>
    <t>klink</t>
  </si>
  <si>
    <t>klinklang</t>
  </si>
  <si>
    <t>koffing</t>
  </si>
  <si>
    <t>komala</t>
  </si>
  <si>
    <t>kommo-o</t>
  </si>
  <si>
    <t>krabby</t>
  </si>
  <si>
    <t>kricketot</t>
  </si>
  <si>
    <t>kricketune</t>
  </si>
  <si>
    <t>krokorok</t>
  </si>
  <si>
    <t>krookodile</t>
  </si>
  <si>
    <t>kyogre-primal</t>
  </si>
  <si>
    <t>kyogre</t>
  </si>
  <si>
    <t>kyurem-black</t>
  </si>
  <si>
    <t>kyurem-white</t>
  </si>
  <si>
    <t>kyurem</t>
  </si>
  <si>
    <t>lairon</t>
  </si>
  <si>
    <t>lampent</t>
  </si>
  <si>
    <t>landorus-therian</t>
  </si>
  <si>
    <t>landorus</t>
  </si>
  <si>
    <t>lanturn</t>
  </si>
  <si>
    <t>lapras</t>
  </si>
  <si>
    <t>larvesta</t>
  </si>
  <si>
    <t>larvitar</t>
  </si>
  <si>
    <t>latias-mega</t>
  </si>
  <si>
    <t>latias</t>
  </si>
  <si>
    <t>latios-mega</t>
  </si>
  <si>
    <t>latios</t>
  </si>
  <si>
    <t>leafeon</t>
  </si>
  <si>
    <t>leavanny</t>
  </si>
  <si>
    <t>ledian</t>
  </si>
  <si>
    <t>ledyba</t>
  </si>
  <si>
    <t>lickilicky</t>
  </si>
  <si>
    <t>lickitung</t>
  </si>
  <si>
    <t>liepard</t>
  </si>
  <si>
    <t>lileep</t>
  </si>
  <si>
    <t>lilligant</t>
  </si>
  <si>
    <t>lillipup</t>
  </si>
  <si>
    <t>linoone</t>
  </si>
  <si>
    <t>litleo</t>
  </si>
  <si>
    <t>litten</t>
  </si>
  <si>
    <t>litwick</t>
  </si>
  <si>
    <t>lombre</t>
  </si>
  <si>
    <t>lopunny-mega</t>
  </si>
  <si>
    <t>lopunny</t>
  </si>
  <si>
    <t>lotad</t>
  </si>
  <si>
    <t>loudred</t>
  </si>
  <si>
    <t>lucario-mega</t>
  </si>
  <si>
    <t>lucario</t>
  </si>
  <si>
    <t>ludicolo</t>
  </si>
  <si>
    <t>lugia</t>
  </si>
  <si>
    <t>lumineon</t>
  </si>
  <si>
    <t>lunala</t>
  </si>
  <si>
    <t>lunatone</t>
  </si>
  <si>
    <t>lurantis</t>
  </si>
  <si>
    <t>luvdisc</t>
  </si>
  <si>
    <t>luxio</t>
  </si>
  <si>
    <t>luxray</t>
  </si>
  <si>
    <t>lycanroc-dusk</t>
  </si>
  <si>
    <t>lycanroc-midnight</t>
  </si>
  <si>
    <t>lycanroc</t>
  </si>
  <si>
    <t>machamp</t>
  </si>
  <si>
    <t>machoke</t>
  </si>
  <si>
    <t>machop</t>
  </si>
  <si>
    <t>magby</t>
  </si>
  <si>
    <t>magcargo</t>
  </si>
  <si>
    <t>magearna-original</t>
  </si>
  <si>
    <t>magearna</t>
  </si>
  <si>
    <t>magikarp</t>
  </si>
  <si>
    <t>magmar</t>
  </si>
  <si>
    <t>magmortar</t>
  </si>
  <si>
    <t>magnemite</t>
  </si>
  <si>
    <t>magneton</t>
  </si>
  <si>
    <t>magnezone</t>
  </si>
  <si>
    <t>makuhita</t>
  </si>
  <si>
    <t>malamar</t>
  </si>
  <si>
    <t>mamoswine</t>
  </si>
  <si>
    <t>manaphy</t>
  </si>
  <si>
    <t>mandibuzz</t>
  </si>
  <si>
    <t>manectric-mega</t>
  </si>
  <si>
    <t>manectric</t>
  </si>
  <si>
    <t>mankey</t>
  </si>
  <si>
    <t>mantine</t>
  </si>
  <si>
    <t>mantyke</t>
  </si>
  <si>
    <t>maractus</t>
  </si>
  <si>
    <t>mareanie</t>
  </si>
  <si>
    <t>mareep</t>
  </si>
  <si>
    <t>marill</t>
  </si>
  <si>
    <t>marowak-alola</t>
  </si>
  <si>
    <t>marowak</t>
  </si>
  <si>
    <t>marshadow-gen7</t>
  </si>
  <si>
    <t>marshadow</t>
  </si>
  <si>
    <t>marshtomp</t>
  </si>
  <si>
    <t>masquerain</t>
  </si>
  <si>
    <t>mawile-mega</t>
  </si>
  <si>
    <t>mawile</t>
  </si>
  <si>
    <t>medicham-mega</t>
  </si>
  <si>
    <t>medicham</t>
  </si>
  <si>
    <t>meditite</t>
  </si>
  <si>
    <t>meganium</t>
  </si>
  <si>
    <t>melmetal</t>
  </si>
  <si>
    <t>meloetta-pirouette</t>
  </si>
  <si>
    <t>meloetta</t>
  </si>
  <si>
    <t>meltan</t>
  </si>
  <si>
    <t>meowstic-female</t>
  </si>
  <si>
    <t>meowstic</t>
  </si>
  <si>
    <t>meowth-alola</t>
  </si>
  <si>
    <t>meowth</t>
  </si>
  <si>
    <t>mesprit</t>
  </si>
  <si>
    <t>metagross-mega</t>
  </si>
  <si>
    <t>metagross</t>
  </si>
  <si>
    <t>metang</t>
  </si>
  <si>
    <t>metapod</t>
  </si>
  <si>
    <t>mew</t>
  </si>
  <si>
    <t>mewtwo-mega-x</t>
  </si>
  <si>
    <t>mewtwo-mega-y</t>
  </si>
  <si>
    <t>mewtwo</t>
  </si>
  <si>
    <t>mienfoo</t>
  </si>
  <si>
    <t>mienshao</t>
  </si>
  <si>
    <t>mightyena</t>
  </si>
  <si>
    <t>milotic</t>
  </si>
  <si>
    <t>miltank</t>
  </si>
  <si>
    <t>mime-jr</t>
  </si>
  <si>
    <t>mimikyu</t>
  </si>
  <si>
    <t>minccino</t>
  </si>
  <si>
    <t>minior-blue-gen7</t>
  </si>
  <si>
    <t>minior-blue</t>
  </si>
  <si>
    <t>minior-green-gen7</t>
  </si>
  <si>
    <t>minior-green</t>
  </si>
  <si>
    <t>minior-indigo-gen7</t>
  </si>
  <si>
    <t>minior-indigo</t>
  </si>
  <si>
    <t>minior-orange-gen7</t>
  </si>
  <si>
    <t>minior-orange</t>
  </si>
  <si>
    <t>minior-red-gen7</t>
  </si>
  <si>
    <t>minior-red</t>
  </si>
  <si>
    <t>minior-violet-gen7</t>
  </si>
  <si>
    <t>minior-violet</t>
  </si>
  <si>
    <t>minior-yellow-gen7</t>
  </si>
  <si>
    <t>minior-yellow</t>
  </si>
  <si>
    <t>minior</t>
  </si>
  <si>
    <t>minun</t>
  </si>
  <si>
    <t>misdreavus</t>
  </si>
  <si>
    <t>mismagius</t>
  </si>
  <si>
    <t>moltres</t>
  </si>
  <si>
    <t>monferno</t>
  </si>
  <si>
    <t>morelull</t>
  </si>
  <si>
    <t>mothim</t>
  </si>
  <si>
    <t>mr-mime</t>
  </si>
  <si>
    <t>mudbray</t>
  </si>
  <si>
    <t>mudkip</t>
  </si>
  <si>
    <t>mudsdale</t>
  </si>
  <si>
    <t>muk-alola</t>
  </si>
  <si>
    <t>muk</t>
  </si>
  <si>
    <t>munchlax</t>
  </si>
  <si>
    <t>munna</t>
  </si>
  <si>
    <t>murkrow</t>
  </si>
  <si>
    <t>musharna</t>
  </si>
  <si>
    <t>naganadel</t>
  </si>
  <si>
    <t>natu</t>
  </si>
  <si>
    <t>necrozma-dawn</t>
  </si>
  <si>
    <t>necrozma-dusk</t>
  </si>
  <si>
    <t>necrozma-ultra</t>
  </si>
  <si>
    <t>necrozma</t>
  </si>
  <si>
    <t>nidoking</t>
  </si>
  <si>
    <t>nidoqueen</t>
  </si>
  <si>
    <t>nidoran-f</t>
  </si>
  <si>
    <t>nidoran-m</t>
  </si>
  <si>
    <t>nidorina</t>
  </si>
  <si>
    <t>nidorino</t>
  </si>
  <si>
    <t>nihilego</t>
  </si>
  <si>
    <t>nincada</t>
  </si>
  <si>
    <t>ninetales-alola</t>
  </si>
  <si>
    <t>ninetales</t>
  </si>
  <si>
    <t>ninjask</t>
  </si>
  <si>
    <t>noctowl</t>
  </si>
  <si>
    <t>noibat</t>
  </si>
  <si>
    <t>noivern</t>
  </si>
  <si>
    <t>nosepass</t>
  </si>
  <si>
    <t>numel</t>
  </si>
  <si>
    <t>nuzleaf</t>
  </si>
  <si>
    <t>octillery</t>
  </si>
  <si>
    <t>oddish</t>
  </si>
  <si>
    <t>omanyte</t>
  </si>
  <si>
    <t>omastar</t>
  </si>
  <si>
    <t>onix</t>
  </si>
  <si>
    <t>oranguru</t>
  </si>
  <si>
    <t>oricorio-pau</t>
  </si>
  <si>
    <t>oricorio-pom-pom</t>
  </si>
  <si>
    <t>oricorio-sensu</t>
  </si>
  <si>
    <t>oricorio</t>
  </si>
  <si>
    <t>oshawott</t>
  </si>
  <si>
    <t>pachirisu</t>
  </si>
  <si>
    <t>palkia</t>
  </si>
  <si>
    <t>palossand</t>
  </si>
  <si>
    <t>palpitoad</t>
  </si>
  <si>
    <t>pancham</t>
  </si>
  <si>
    <t>pangoro</t>
  </si>
  <si>
    <t>panpour</t>
  </si>
  <si>
    <t>pansage</t>
  </si>
  <si>
    <t>pansear</t>
  </si>
  <si>
    <t>paras</t>
  </si>
  <si>
    <t>parasect</t>
  </si>
  <si>
    <t>passimian</t>
  </si>
  <si>
    <t>patrat</t>
  </si>
  <si>
    <t>pawniard</t>
  </si>
  <si>
    <t>pelipper</t>
  </si>
  <si>
    <t>persian-alola</t>
  </si>
  <si>
    <t>persian</t>
  </si>
  <si>
    <t>petilil</t>
  </si>
  <si>
    <t>phanpy</t>
  </si>
  <si>
    <t>phantump</t>
  </si>
  <si>
    <t>pheromosa</t>
  </si>
  <si>
    <t>phione</t>
  </si>
  <si>
    <t>pichu-spiky-eared</t>
  </si>
  <si>
    <t>pichu</t>
  </si>
  <si>
    <t>pidgeot-mega</t>
  </si>
  <si>
    <t>pidgeot</t>
  </si>
  <si>
    <t>pidgeotto</t>
  </si>
  <si>
    <t>pidgey</t>
  </si>
  <si>
    <t>pidove</t>
  </si>
  <si>
    <t>pignite</t>
  </si>
  <si>
    <t>pikachu-alola-cap-female</t>
  </si>
  <si>
    <t>pikachu-alola-cap</t>
  </si>
  <si>
    <t>pikachu-belle</t>
  </si>
  <si>
    <t>pikachu-cosplay</t>
  </si>
  <si>
    <t>pikachu-female</t>
  </si>
  <si>
    <t>pikachu-hoenn-cap-female</t>
  </si>
  <si>
    <t>pikachu-hoenn-cap</t>
  </si>
  <si>
    <t>pikachu-kalos-cap-female</t>
  </si>
  <si>
    <t>pikachu-kalos-cap</t>
  </si>
  <si>
    <t>pikachu-libre</t>
  </si>
  <si>
    <t>pikachu-original-cap-female</t>
  </si>
  <si>
    <t>pikachu-original-cap</t>
  </si>
  <si>
    <t>pikachu-partner-cap-female</t>
  </si>
  <si>
    <t>pikachu-partner-cap</t>
  </si>
  <si>
    <t>pikachu-phd</t>
  </si>
  <si>
    <t>pikachu-pop-star</t>
  </si>
  <si>
    <t>pikachu-rock-star</t>
  </si>
  <si>
    <t>pikachu-sinnoh-cap-female</t>
  </si>
  <si>
    <t>pikachu-sinnoh-cap</t>
  </si>
  <si>
    <t>pikachu-starter-female</t>
  </si>
  <si>
    <t>pikachu-starter</t>
  </si>
  <si>
    <t>pikachu-unova-cap-female</t>
  </si>
  <si>
    <t>pikachu-unova-cap</t>
  </si>
  <si>
    <t>pikachu-world-cap-female</t>
  </si>
  <si>
    <t>pikachu-world-cap</t>
  </si>
  <si>
    <t>pikachu</t>
  </si>
  <si>
    <t>pikipek</t>
  </si>
  <si>
    <t>piloswine</t>
  </si>
  <si>
    <t>pineco</t>
  </si>
  <si>
    <t>pinsir-mega</t>
  </si>
  <si>
    <t>pinsir</t>
  </si>
  <si>
    <t>piplup</t>
  </si>
  <si>
    <t>plusle</t>
  </si>
  <si>
    <t>poipole</t>
  </si>
  <si>
    <t>politoed</t>
  </si>
  <si>
    <t>poliwag</t>
  </si>
  <si>
    <t>poliwhirl</t>
  </si>
  <si>
    <t>poliwrath</t>
  </si>
  <si>
    <t>ponyta</t>
  </si>
  <si>
    <t>poochyena</t>
  </si>
  <si>
    <t>popplio</t>
  </si>
  <si>
    <t>porygon-z</t>
  </si>
  <si>
    <t>porygon</t>
  </si>
  <si>
    <t>porygon2</t>
  </si>
  <si>
    <t>primarina</t>
  </si>
  <si>
    <t>primeape</t>
  </si>
  <si>
    <t>prinplup</t>
  </si>
  <si>
    <t>probopass</t>
  </si>
  <si>
    <t>psyduck</t>
  </si>
  <si>
    <t>pumpkaboo-large</t>
  </si>
  <si>
    <t>pumpkaboo-small</t>
  </si>
  <si>
    <t>pumpkaboo-super</t>
  </si>
  <si>
    <t>pumpkaboo</t>
  </si>
  <si>
    <t>pupitar</t>
  </si>
  <si>
    <t>purrloin</t>
  </si>
  <si>
    <t>purugly</t>
  </si>
  <si>
    <t>pyroar-female</t>
  </si>
  <si>
    <t>pyroar</t>
  </si>
  <si>
    <t>pyukumuku</t>
  </si>
  <si>
    <t>quagsire</t>
  </si>
  <si>
    <t>quilava</t>
  </si>
  <si>
    <t>quilladin</t>
  </si>
  <si>
    <t>qwilfish</t>
  </si>
  <si>
    <t>raichu-alola</t>
  </si>
  <si>
    <t>raichu</t>
  </si>
  <si>
    <t>raikou</t>
  </si>
  <si>
    <t>ralts</t>
  </si>
  <si>
    <t>rampardos</t>
  </si>
  <si>
    <t>rapidash</t>
  </si>
  <si>
    <t>raticate-alola</t>
  </si>
  <si>
    <t>raticate</t>
  </si>
  <si>
    <t>rattata-alola</t>
  </si>
  <si>
    <t>rattata</t>
  </si>
  <si>
    <t>rayquaza-mega</t>
  </si>
  <si>
    <t>rayquaza</t>
  </si>
  <si>
    <t>regice</t>
  </si>
  <si>
    <t>regigigas</t>
  </si>
  <si>
    <t>regirock</t>
  </si>
  <si>
    <t>registeel</t>
  </si>
  <si>
    <t>relicanth</t>
  </si>
  <si>
    <t>remoraid</t>
  </si>
  <si>
    <t>reshiram</t>
  </si>
  <si>
    <t>reuniclus</t>
  </si>
  <si>
    <t>rhydon</t>
  </si>
  <si>
    <t>rhyhorn</t>
  </si>
  <si>
    <t>rhyperior</t>
  </si>
  <si>
    <t>ribombee</t>
  </si>
  <si>
    <t>riolu</t>
  </si>
  <si>
    <t>rockruff</t>
  </si>
  <si>
    <t>roggenrola</t>
  </si>
  <si>
    <t>roselia</t>
  </si>
  <si>
    <t>roserade</t>
  </si>
  <si>
    <t>rotom-fan</t>
  </si>
  <si>
    <t>rotom-frost</t>
  </si>
  <si>
    <t>rotom-heat</t>
  </si>
  <si>
    <t>rotom-mow</t>
  </si>
  <si>
    <t>rotom-wash</t>
  </si>
  <si>
    <t>rotom</t>
  </si>
  <si>
    <t>rowlet</t>
  </si>
  <si>
    <t>rufflet</t>
  </si>
  <si>
    <t>sableye-mega</t>
  </si>
  <si>
    <t>sableye</t>
  </si>
  <si>
    <t>salamence-mega</t>
  </si>
  <si>
    <t>salamence</t>
  </si>
  <si>
    <t>salandit</t>
  </si>
  <si>
    <t>salazzle</t>
  </si>
  <si>
    <t>samurott</t>
  </si>
  <si>
    <t>sandile</t>
  </si>
  <si>
    <t>sandshrew-alola</t>
  </si>
  <si>
    <t>sandshrew</t>
  </si>
  <si>
    <t>sandslash-alola</t>
  </si>
  <si>
    <t>sandslash</t>
  </si>
  <si>
    <t>sandygast</t>
  </si>
  <si>
    <t>sawk</t>
  </si>
  <si>
    <t>sawsbuck-autumn</t>
  </si>
  <si>
    <t>sawsbuck-summer</t>
  </si>
  <si>
    <t>sawsbuck-winter</t>
  </si>
  <si>
    <t>sawsbuck</t>
  </si>
  <si>
    <t>scatterbug</t>
  </si>
  <si>
    <t>sceptile-mega</t>
  </si>
  <si>
    <t>sceptile</t>
  </si>
  <si>
    <t>scizor-mega</t>
  </si>
  <si>
    <t>scizor</t>
  </si>
  <si>
    <t>scolipede</t>
  </si>
  <si>
    <t>scrafty</t>
  </si>
  <si>
    <t>scraggy</t>
  </si>
  <si>
    <t>scyther</t>
  </si>
  <si>
    <t>seadra</t>
  </si>
  <si>
    <t>seaking</t>
  </si>
  <si>
    <t>sealeo</t>
  </si>
  <si>
    <t>seedot</t>
  </si>
  <si>
    <t>seel</t>
  </si>
  <si>
    <t>seismitoad</t>
  </si>
  <si>
    <t>sentret</t>
  </si>
  <si>
    <t>serperior</t>
  </si>
  <si>
    <t>servine</t>
  </si>
  <si>
    <t>seviper</t>
  </si>
  <si>
    <t>sewaddle</t>
  </si>
  <si>
    <t>sharpedo-mega</t>
  </si>
  <si>
    <t>sharpedo</t>
  </si>
  <si>
    <t>shaymin-sky</t>
  </si>
  <si>
    <t>shaymin</t>
  </si>
  <si>
    <t>shedinja</t>
  </si>
  <si>
    <t>shelgon</t>
  </si>
  <si>
    <t>shellder</t>
  </si>
  <si>
    <t>shellos-east</t>
  </si>
  <si>
    <t>shellos</t>
  </si>
  <si>
    <t>shelmet</t>
  </si>
  <si>
    <t>shieldon</t>
  </si>
  <si>
    <t>shiftry</t>
  </si>
  <si>
    <t>shiinotic</t>
  </si>
  <si>
    <t>shinx</t>
  </si>
  <si>
    <t>shroomish</t>
  </si>
  <si>
    <t>shuckle</t>
  </si>
  <si>
    <t>shuppet</t>
  </si>
  <si>
    <t>sigilyph</t>
  </si>
  <si>
    <t>silcoon</t>
  </si>
  <si>
    <t>silvally-bug</t>
  </si>
  <si>
    <t>silvally-dark</t>
  </si>
  <si>
    <t>silvally-dragon</t>
  </si>
  <si>
    <t>silvally-electric</t>
  </si>
  <si>
    <t>silvally-fairy</t>
  </si>
  <si>
    <t>silvally-fighting</t>
  </si>
  <si>
    <t>silvally-fire</t>
  </si>
  <si>
    <t>silvally-flying</t>
  </si>
  <si>
    <t>silvally-ghost</t>
  </si>
  <si>
    <t>silvally-grass</t>
  </si>
  <si>
    <t>silvally-ground</t>
  </si>
  <si>
    <t>silvally-ice</t>
  </si>
  <si>
    <t>silvally-poison</t>
  </si>
  <si>
    <t>silvally-psychic</t>
  </si>
  <si>
    <t>silvally-rock</t>
  </si>
  <si>
    <t>silvally-steel</t>
  </si>
  <si>
    <t>silvally-water</t>
  </si>
  <si>
    <t>silvally</t>
  </si>
  <si>
    <t>simipour</t>
  </si>
  <si>
    <t>simisage</t>
  </si>
  <si>
    <t>simisear</t>
  </si>
  <si>
    <t>skarmory</t>
  </si>
  <si>
    <t>skiddo</t>
  </si>
  <si>
    <t>skiploom</t>
  </si>
  <si>
    <t>skitty</t>
  </si>
  <si>
    <t>skorupi</t>
  </si>
  <si>
    <t>skrelp</t>
  </si>
  <si>
    <t>skuntank</t>
  </si>
  <si>
    <t>slaking</t>
  </si>
  <si>
    <t>slakoth</t>
  </si>
  <si>
    <t>sliggoo</t>
  </si>
  <si>
    <t>slowbro-mega</t>
  </si>
  <si>
    <t>slowbro</t>
  </si>
  <si>
    <t>slowking</t>
  </si>
  <si>
    <t>slowpoke-galar</t>
  </si>
  <si>
    <t>slowpoke</t>
  </si>
  <si>
    <t>slugma</t>
  </si>
  <si>
    <t>slurpuff</t>
  </si>
  <si>
    <t>smeargle</t>
  </si>
  <si>
    <t>smoochum</t>
  </si>
  <si>
    <t>sneasel</t>
  </si>
  <si>
    <t>snivy</t>
  </si>
  <si>
    <t>snorlax</t>
  </si>
  <si>
    <t>snorunt</t>
  </si>
  <si>
    <t>snover</t>
  </si>
  <si>
    <t>snubbull</t>
  </si>
  <si>
    <t>solgaleo</t>
  </si>
  <si>
    <t>solosis</t>
  </si>
  <si>
    <t>solrock</t>
  </si>
  <si>
    <t>spearow</t>
  </si>
  <si>
    <t>spewpa</t>
  </si>
  <si>
    <t>spheal</t>
  </si>
  <si>
    <t>spinarak</t>
  </si>
  <si>
    <t>spinda-blank</t>
  </si>
  <si>
    <t>spinda-filled</t>
  </si>
  <si>
    <t>spinda</t>
  </si>
  <si>
    <t>spiritomb</t>
  </si>
  <si>
    <t>spoink</t>
  </si>
  <si>
    <t>spritzee</t>
  </si>
  <si>
    <t>squirtle</t>
  </si>
  <si>
    <t>stakataka</t>
  </si>
  <si>
    <t>stantler</t>
  </si>
  <si>
    <t>staraptor</t>
  </si>
  <si>
    <t>staravia</t>
  </si>
  <si>
    <t>starly</t>
  </si>
  <si>
    <t>starmie</t>
  </si>
  <si>
    <t>staryu</t>
  </si>
  <si>
    <t>steelix-mega</t>
  </si>
  <si>
    <t>steelix</t>
  </si>
  <si>
    <t>steenee</t>
  </si>
  <si>
    <t>stoutland</t>
  </si>
  <si>
    <t>stufful</t>
  </si>
  <si>
    <t>stunfisk</t>
  </si>
  <si>
    <t>stunky</t>
  </si>
  <si>
    <t>sudowoodo</t>
  </si>
  <si>
    <t>suicune</t>
  </si>
  <si>
    <t>sunflora</t>
  </si>
  <si>
    <t>sunkern</t>
  </si>
  <si>
    <t>surskit</t>
  </si>
  <si>
    <t>swablu</t>
  </si>
  <si>
    <t>swadloon</t>
  </si>
  <si>
    <t>swalot</t>
  </si>
  <si>
    <t>swampert-mega</t>
  </si>
  <si>
    <t>swampert</t>
  </si>
  <si>
    <t>swanna</t>
  </si>
  <si>
    <t>swellow</t>
  </si>
  <si>
    <t>swinub</t>
  </si>
  <si>
    <t>swirlix</t>
  </si>
  <si>
    <t>swoobat</t>
  </si>
  <si>
    <t>sylveon</t>
  </si>
  <si>
    <t>taillow</t>
  </si>
  <si>
    <t>talonflame</t>
  </si>
  <si>
    <t>tangela</t>
  </si>
  <si>
    <t>tangrowth</t>
  </si>
  <si>
    <t>tapu-bulu</t>
  </si>
  <si>
    <t>tapu-fini</t>
  </si>
  <si>
    <t>tapu-koko</t>
  </si>
  <si>
    <t>tapu-lele</t>
  </si>
  <si>
    <t>tauros</t>
  </si>
  <si>
    <t>teddiursa</t>
  </si>
  <si>
    <t>tentacool</t>
  </si>
  <si>
    <t>tentacruel</t>
  </si>
  <si>
    <t>tepig</t>
  </si>
  <si>
    <t>terrakion</t>
  </si>
  <si>
    <t>throh</t>
  </si>
  <si>
    <t>thundurus-therian</t>
  </si>
  <si>
    <t>thundurus</t>
  </si>
  <si>
    <t>timburr</t>
  </si>
  <si>
    <t>tirtouga</t>
  </si>
  <si>
    <t>togedemaru</t>
  </si>
  <si>
    <t>togekiss</t>
  </si>
  <si>
    <t>togepi</t>
  </si>
  <si>
    <t>togetic</t>
  </si>
  <si>
    <t>torchic</t>
  </si>
  <si>
    <t>torkoal</t>
  </si>
  <si>
    <t>tornadus-therian</t>
  </si>
  <si>
    <t>tornadus</t>
  </si>
  <si>
    <t>torracat</t>
  </si>
  <si>
    <t>torterra</t>
  </si>
  <si>
    <t>totodile</t>
  </si>
  <si>
    <t>toucannon</t>
  </si>
  <si>
    <t>toxapex</t>
  </si>
  <si>
    <t>toxicroak</t>
  </si>
  <si>
    <t>tranquill</t>
  </si>
  <si>
    <t>trapinch</t>
  </si>
  <si>
    <t>treecko</t>
  </si>
  <si>
    <t>trevenant</t>
  </si>
  <si>
    <t>tropius</t>
  </si>
  <si>
    <t>trubbish</t>
  </si>
  <si>
    <t>trumbeak</t>
  </si>
  <si>
    <t>tsareena</t>
  </si>
  <si>
    <t>turtonator</t>
  </si>
  <si>
    <t>turtwig</t>
  </si>
  <si>
    <t>tympole</t>
  </si>
  <si>
    <t>tynamo</t>
  </si>
  <si>
    <t>type-null</t>
  </si>
  <si>
    <t>typhlosion</t>
  </si>
  <si>
    <t>tyranitar-mega</t>
  </si>
  <si>
    <t>tyranitar</t>
  </si>
  <si>
    <t>tyrantrum</t>
  </si>
  <si>
    <t>tyrogue</t>
  </si>
  <si>
    <t>tyrunt</t>
  </si>
  <si>
    <t>umbreon</t>
  </si>
  <si>
    <t>unfezant-female</t>
  </si>
  <si>
    <t>unfezant</t>
  </si>
  <si>
    <t>unown-b</t>
  </si>
  <si>
    <t>unown-c</t>
  </si>
  <si>
    <t>unown-d</t>
  </si>
  <si>
    <t>unown-e</t>
  </si>
  <si>
    <t>unown-exclamation</t>
  </si>
  <si>
    <t>unown-f</t>
  </si>
  <si>
    <t>unown-g</t>
  </si>
  <si>
    <t>unown-h</t>
  </si>
  <si>
    <t>unown-i</t>
  </si>
  <si>
    <t>unown-j</t>
  </si>
  <si>
    <t>unown-k</t>
  </si>
  <si>
    <t>unown-l</t>
  </si>
  <si>
    <t>unown-m</t>
  </si>
  <si>
    <t>unown-n</t>
  </si>
  <si>
    <t>unown-o</t>
  </si>
  <si>
    <t>unown-p</t>
  </si>
  <si>
    <t>unown-q</t>
  </si>
  <si>
    <t>unown-question</t>
  </si>
  <si>
    <t>unown-r</t>
  </si>
  <si>
    <t>unown-s</t>
  </si>
  <si>
    <t>unown-t</t>
  </si>
  <si>
    <t>unown-u</t>
  </si>
  <si>
    <t>unown-v</t>
  </si>
  <si>
    <t>unown-w</t>
  </si>
  <si>
    <t>unown-x</t>
  </si>
  <si>
    <t>unown-y</t>
  </si>
  <si>
    <t>unown-z</t>
  </si>
  <si>
    <t>unown</t>
  </si>
  <si>
    <t>ursaring</t>
  </si>
  <si>
    <t>uxie</t>
  </si>
  <si>
    <t>vanillish</t>
  </si>
  <si>
    <t>vanillite</t>
  </si>
  <si>
    <t>vanilluxe</t>
  </si>
  <si>
    <t>vaporeon</t>
  </si>
  <si>
    <t>venipede</t>
  </si>
  <si>
    <t>venomoth</t>
  </si>
  <si>
    <t>venonat</t>
  </si>
  <si>
    <t>venusaur-mega</t>
  </si>
  <si>
    <t>venusaur</t>
  </si>
  <si>
    <t>vespiquen</t>
  </si>
  <si>
    <t>vibrava</t>
  </si>
  <si>
    <t>victini</t>
  </si>
  <si>
    <t>victreebel</t>
  </si>
  <si>
    <t>vigoroth</t>
  </si>
  <si>
    <t>vikavolt</t>
  </si>
  <si>
    <t>vileplume</t>
  </si>
  <si>
    <t>virizion</t>
  </si>
  <si>
    <t>vivillon-archipelago</t>
  </si>
  <si>
    <t>vivillon-continental</t>
  </si>
  <si>
    <t>vivillon-elegant</t>
  </si>
  <si>
    <t>vivillon-fancy</t>
  </si>
  <si>
    <t>vivillon-garden</t>
  </si>
  <si>
    <t>vivillon-high-plains</t>
  </si>
  <si>
    <t>vivillon-icy-snow</t>
  </si>
  <si>
    <t>vivillon-jungle</t>
  </si>
  <si>
    <t>vivillon-marine</t>
  </si>
  <si>
    <t>vivillon-modern</t>
  </si>
  <si>
    <t>vivillon-monsoon</t>
  </si>
  <si>
    <t>vivillon-ocean</t>
  </si>
  <si>
    <t>vivillon-poke-ball</t>
  </si>
  <si>
    <t>vivillon-polar</t>
  </si>
  <si>
    <t>vivillon-river</t>
  </si>
  <si>
    <t>vivillon-sandstorm</t>
  </si>
  <si>
    <t>vivillon-savanna</t>
  </si>
  <si>
    <t>vivillon-sun</t>
  </si>
  <si>
    <t>vivillon-tundra</t>
  </si>
  <si>
    <t>vivillon</t>
  </si>
  <si>
    <t>volbeat</t>
  </si>
  <si>
    <t>volcanion</t>
  </si>
  <si>
    <t>volcarona</t>
  </si>
  <si>
    <t>voltorb</t>
  </si>
  <si>
    <t>vullaby</t>
  </si>
  <si>
    <t>vulpix-alola</t>
  </si>
  <si>
    <t>vulpix</t>
  </si>
  <si>
    <t>wailmer</t>
  </si>
  <si>
    <t>wailord</t>
  </si>
  <si>
    <t>walrein</t>
  </si>
  <si>
    <t>wartortle</t>
  </si>
  <si>
    <t>watchog</t>
  </si>
  <si>
    <t>weavile</t>
  </si>
  <si>
    <t>weedle</t>
  </si>
  <si>
    <t>weepinbell</t>
  </si>
  <si>
    <t>weezing</t>
  </si>
  <si>
    <t>whimsicott</t>
  </si>
  <si>
    <t>whirlipede</t>
  </si>
  <si>
    <t>whiscash</t>
  </si>
  <si>
    <t>whismur</t>
  </si>
  <si>
    <t>wigglytuff</t>
  </si>
  <si>
    <t>wimpod</t>
  </si>
  <si>
    <t>wingull</t>
  </si>
  <si>
    <t>wishiwashi-school</t>
  </si>
  <si>
    <t>wishiwashi</t>
  </si>
  <si>
    <t>wobbuffet-female</t>
  </si>
  <si>
    <t>wobbuffet</t>
  </si>
  <si>
    <t>woobat</t>
  </si>
  <si>
    <t>wooper</t>
  </si>
  <si>
    <t>wormadam-sandy</t>
  </si>
  <si>
    <t>wormadam-trash</t>
  </si>
  <si>
    <t>wormadam</t>
  </si>
  <si>
    <t>wurmple</t>
  </si>
  <si>
    <t>wynaut</t>
  </si>
  <si>
    <t>xatu</t>
  </si>
  <si>
    <t>xerneas-active</t>
  </si>
  <si>
    <t>xerneas</t>
  </si>
  <si>
    <t>xurkitree</t>
  </si>
  <si>
    <t>yamask</t>
  </si>
  <si>
    <t>yanma</t>
  </si>
  <si>
    <t>yanmega</t>
  </si>
  <si>
    <t>yungoos</t>
  </si>
  <si>
    <t>yveltal</t>
  </si>
  <si>
    <t>zangoose</t>
  </si>
  <si>
    <t>zapdos</t>
  </si>
  <si>
    <t>zebstrika</t>
  </si>
  <si>
    <t>zekrom</t>
  </si>
  <si>
    <t>zeraora</t>
  </si>
  <si>
    <t>zigzagoon</t>
  </si>
  <si>
    <t>zoroark</t>
  </si>
  <si>
    <t>zorua</t>
  </si>
  <si>
    <t>zubat</t>
  </si>
  <si>
    <t>zweilous</t>
  </si>
  <si>
    <t>zygarde-10</t>
  </si>
  <si>
    <t>zygarde-complete</t>
  </si>
  <si>
    <t>zygarde</t>
  </si>
  <si>
    <t>15 cm</t>
  </si>
  <si>
    <t>Takara Tomy</t>
  </si>
  <si>
    <t>Re-ment</t>
  </si>
  <si>
    <t>McDonald's</t>
  </si>
  <si>
    <t>Pepsi</t>
  </si>
  <si>
    <t>Subarudo</t>
  </si>
  <si>
    <t>Kitan Club</t>
  </si>
  <si>
    <t>OddzOn Inc.</t>
  </si>
  <si>
    <t>Photo</t>
  </si>
  <si>
    <t>Pokemon</t>
  </si>
  <si>
    <t>Sprite</t>
  </si>
  <si>
    <t>Category</t>
  </si>
  <si>
    <t>Manufacturer</t>
  </si>
  <si>
    <t>Collection</t>
  </si>
  <si>
    <t>Release Year</t>
  </si>
  <si>
    <t>Estimated Value</t>
  </si>
  <si>
    <t>Purchase Price</t>
  </si>
  <si>
    <t>Purchase Date</t>
  </si>
  <si>
    <t>Purchased from</t>
  </si>
  <si>
    <t>Tag / Box</t>
  </si>
  <si>
    <t>Size</t>
  </si>
  <si>
    <t>Condition</t>
  </si>
  <si>
    <t>Notes</t>
  </si>
  <si>
    <t>First plush in your collection.</t>
  </si>
  <si>
    <t>Plushie</t>
  </si>
  <si>
    <t>Figure</t>
  </si>
  <si>
    <t>Keychain</t>
  </si>
  <si>
    <t>Towel</t>
  </si>
  <si>
    <t>Pin</t>
  </si>
  <si>
    <t>Utensils</t>
  </si>
  <si>
    <t>Accessory</t>
  </si>
  <si>
    <t>Clothes</t>
  </si>
  <si>
    <t>Custom Made</t>
  </si>
  <si>
    <t>Other</t>
  </si>
  <si>
    <t>eBay</t>
  </si>
  <si>
    <t>Amazon</t>
  </si>
  <si>
    <t>Aliexpress</t>
  </si>
  <si>
    <t>Tag</t>
  </si>
  <si>
    <t>Gift</t>
  </si>
  <si>
    <t>Top Manufacturers</t>
  </si>
  <si>
    <t>Top Pokemons</t>
  </si>
  <si>
    <t>Dates</t>
  </si>
  <si>
    <t>Number</t>
  </si>
  <si>
    <t>Items in collection:</t>
  </si>
  <si>
    <t>Estimated cost:</t>
  </si>
  <si>
    <t>Average estimated cost:</t>
  </si>
  <si>
    <t>Actual price:</t>
  </si>
  <si>
    <t>Average actual price:</t>
  </si>
  <si>
    <t>Overall collection condition:</t>
  </si>
  <si>
    <t>Overall love of the collection:</t>
  </si>
  <si>
    <t>Top-3 manufacturers:</t>
  </si>
  <si>
    <t>Top-3
pokemons:</t>
  </si>
  <si>
    <t>Grand Total</t>
  </si>
  <si>
    <t>Number of items</t>
  </si>
  <si>
    <t>Average of Condition</t>
  </si>
  <si>
    <t>Sum of Purchase Price</t>
  </si>
  <si>
    <t>Average of Purchase Price</t>
  </si>
  <si>
    <t>Sum of Estimated Value</t>
  </si>
  <si>
    <t>Average of Estimated Value</t>
  </si>
  <si>
    <t>Love</t>
  </si>
  <si>
    <t>Average of Love</t>
  </si>
  <si>
    <t>Общий итог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</si>
</sst>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 #,##0.00\ &quot;₽&quot;_-;\-* #,##0.00\ &quot;₽&quot;_-;_-* &quot;-&quot;??\ &quot;₽&quot;_-;_-@_-"/>
  </numFmts>
  <fonts count="8" x14ac:knownFonts="1">
    <font>
      <sz val="11"/>
      <color theme="1"/>
      <name val="Franklin Gothic Book"/>
      <family val="2"/>
      <scheme val="minor"/>
    </font>
    <font>
      <sz val="11"/>
      <color theme="1"/>
      <name val="Franklin Gothic Book"/>
      <family val="2"/>
      <scheme val="minor"/>
    </font>
    <font>
      <b/>
      <sz val="11"/>
      <color theme="1"/>
      <name val="Franklin Gothic Book"/>
      <family val="2"/>
      <charset val="204"/>
      <scheme val="minor"/>
    </font>
    <font>
      <b/>
      <sz val="14"/>
      <color theme="1"/>
      <name val="Franklin Gothic Book"/>
      <family val="2"/>
      <scheme val="minor"/>
    </font>
    <font>
      <b/>
      <sz val="14"/>
      <color theme="1"/>
      <name val="Franklin Gothic Book"/>
      <family val="2"/>
      <charset val="204"/>
      <scheme val="minor"/>
    </font>
    <font>
      <b/>
      <sz val="12"/>
      <color theme="1"/>
      <name val="Franklin Gothic Book"/>
      <family val="2"/>
      <charset val="204"/>
      <scheme val="minor"/>
    </font>
    <font>
      <sz val="12"/>
      <color theme="1"/>
      <name val="Franklin Gothic Book"/>
      <family val="2"/>
      <charset val="204"/>
      <scheme val="minor"/>
    </font>
    <font>
      <sz val="11"/>
      <color theme="5"/>
      <name val="Franklin Gothic Book"/>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3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2" fillId="0" borderId="0" xfId="0" applyFont="1" applyAlignment="1">
      <alignment horizontal="center" wrapText="1"/>
    </xf>
    <xf numFmtId="0" fontId="2" fillId="0" borderId="0" xfId="0" applyFont="1"/>
    <xf numFmtId="0" fontId="0" fillId="0" borderId="0" xfId="0" applyAlignment="1">
      <alignment wrapText="1"/>
    </xf>
    <xf numFmtId="0" fontId="0" fillId="0" borderId="0" xfId="0" applyAlignment="1">
      <alignment horizontal="right"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top" wrapText="1"/>
    </xf>
    <xf numFmtId="0" fontId="2" fillId="0" borderId="0" xfId="0" applyFont="1" applyAlignment="1">
      <alignment horizontal="left" wrapText="1"/>
    </xf>
    <xf numFmtId="0" fontId="0" fillId="0" borderId="0" xfId="1" applyNumberFormat="1" applyFont="1" applyAlignment="1">
      <alignment horizontal="right" vertical="center" wrapText="1"/>
    </xf>
    <xf numFmtId="0" fontId="0" fillId="0" borderId="0" xfId="0" pivotButton="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0" fillId="0" borderId="0" xfId="0" applyAlignment="1">
      <alignment horizontal="left" vertical="center"/>
    </xf>
    <xf numFmtId="14" fontId="2" fillId="0" borderId="0" xfId="0" applyNumberFormat="1" applyFont="1" applyAlignment="1">
      <alignment horizontal="center" wrapText="1"/>
    </xf>
    <xf numFmtId="14" fontId="0" fillId="0" borderId="0" xfId="0" applyNumberFormat="1" applyAlignment="1">
      <alignment horizontal="left"/>
    </xf>
    <xf numFmtId="0" fontId="6" fillId="0" borderId="0" xfId="0" applyFont="1" applyAlignment="1">
      <alignment horizontal="right" vertical="center" wrapText="1"/>
    </xf>
    <xf numFmtId="0" fontId="6" fillId="0" borderId="0" xfId="0" applyFont="1" applyAlignment="1">
      <alignment horizontal="center" vertical="center"/>
    </xf>
    <xf numFmtId="0" fontId="5" fillId="0" borderId="0" xfId="0" applyFont="1" applyAlignment="1">
      <alignment horizontal="center" vertical="center"/>
    </xf>
    <xf numFmtId="0" fontId="3" fillId="0" borderId="0" xfId="0" applyFont="1" applyAlignment="1">
      <alignment horizontal="right" vertical="center" wrapText="1"/>
    </xf>
    <xf numFmtId="0" fontId="3" fillId="0" borderId="0" xfId="0" applyFont="1" applyAlignment="1">
      <alignment horizontal="right" vertical="center"/>
    </xf>
    <xf numFmtId="0" fontId="4"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wrapText="1"/>
    </xf>
    <xf numFmtId="0" fontId="7" fillId="0" borderId="0" xfId="0" applyFont="1" applyAlignment="1">
      <alignment horizontal="center"/>
    </xf>
    <xf numFmtId="0" fontId="0" fillId="0" borderId="0" xfId="0" applyAlignment="1">
      <alignment horizontal="center"/>
    </xf>
    <xf numFmtId="0" fontId="0" fillId="0" borderId="0" xfId="0" applyAlignment="1">
      <alignment horizontal="center" vertical="center"/>
    </xf>
    <xf numFmtId="0" fontId="5" fillId="0" borderId="0" xfId="0" applyFont="1" applyAlignment="1">
      <alignment horizontal="center" wrapText="1"/>
    </xf>
    <xf numFmtId="0" fontId="0" fillId="0" borderId="0" xfId="0" applyNumberFormat="1"/>
  </cellXfs>
  <cellStyles count="2">
    <cellStyle name="Денежный" xfId="1" builtinId="4"/>
    <cellStyle name="Обычный" xfId="0" builtinId="0"/>
  </cellStyles>
  <dxfs count="23">
    <dxf>
      <font>
        <b/>
        <i val="0"/>
        <strike val="0"/>
        <condense val="0"/>
        <extend val="0"/>
        <outline val="0"/>
        <shadow val="0"/>
        <u val="none"/>
        <vertAlign val="baseline"/>
        <sz val="11"/>
        <color theme="1"/>
        <name val="Franklin Gothic Book"/>
        <family val="2"/>
        <charset val="204"/>
        <scheme val="minor"/>
      </font>
    </dxf>
    <dxf>
      <font>
        <b/>
        <i val="0"/>
        <strike val="0"/>
        <condense val="0"/>
        <extend val="0"/>
        <outline val="0"/>
        <shadow val="0"/>
        <u val="none"/>
        <vertAlign val="baseline"/>
        <sz val="11"/>
        <color theme="1"/>
        <name val="Franklin Gothic Book"/>
        <family val="2"/>
        <charset val="204"/>
        <scheme val="minor"/>
      </font>
    </dxf>
    <dxf>
      <font>
        <b/>
        <i val="0"/>
        <strike val="0"/>
        <condense val="0"/>
        <extend val="0"/>
        <outline val="0"/>
        <shadow val="0"/>
        <u val="none"/>
        <vertAlign val="baseline"/>
        <sz val="11"/>
        <color theme="1"/>
        <name val="Franklin Gothic Book"/>
        <family val="2"/>
        <charset val="204"/>
        <scheme val="minor"/>
      </font>
    </dxf>
    <dxf>
      <font>
        <b/>
        <i val="0"/>
        <strike val="0"/>
        <condense val="0"/>
        <extend val="0"/>
        <outline val="0"/>
        <shadow val="0"/>
        <u val="none"/>
        <vertAlign val="baseline"/>
        <sz val="11"/>
        <color theme="1"/>
        <name val="Franklin Gothic Book"/>
        <family val="2"/>
        <charset val="204"/>
        <scheme val="minor"/>
      </font>
    </dxf>
    <dxf>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Franklin Gothic Book"/>
        <family val="2"/>
        <charset val="204"/>
        <scheme val="minor"/>
      </font>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microsoft.com/office/2011/relationships/timelineCache" Target="timelineCaches/timelineCache1.xml"/><Relationship Id="rId14"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[PokemonCollectionTemplate.xlsm]Analytics!Dates</c:name>
    <c:fmtId val="5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588582677165357E-2"/>
          <c:y val="0.11382113821138211"/>
          <c:w val="0.8889156824146982"/>
          <c:h val="0.70241853914602137"/>
        </c:manualLayout>
      </c:layout>
      <c:barChart>
        <c:barDir val="col"/>
        <c:grouping val="clustered"/>
        <c:varyColors val="0"/>
        <c:ser>
          <c:idx val="0"/>
          <c:order val="0"/>
          <c:tx>
            <c:strRef>
              <c:f>Analytics!$I$15</c:f>
              <c:strCache>
                <c:ptCount val="1"/>
                <c:pt idx="0">
                  <c:v>Number</c:v>
                </c:pt>
              </c:strCache>
            </c:strRef>
          </c:tx>
          <c:spPr>
            <a:solidFill>
              <a:schemeClr val="accent1"/>
            </a:solidFill>
            <a:ln>
              <a:noFill/>
            </a:ln>
            <a:effectLst/>
          </c:spPr>
          <c:invertIfNegative val="0"/>
          <c:cat>
            <c:strRef>
              <c:f>Analytics!$H$16:$H$17</c:f>
              <c:strCache>
                <c:ptCount val="1"/>
                <c:pt idx="0">
                  <c:v>01.01.2024</c:v>
                </c:pt>
              </c:strCache>
            </c:strRef>
          </c:cat>
          <c:val>
            <c:numRef>
              <c:f>Analytics!$I$16:$I$17</c:f>
              <c:numCache>
                <c:formatCode>General</c:formatCode>
                <c:ptCount val="1"/>
                <c:pt idx="0">
                  <c:v>1</c:v>
                </c:pt>
              </c:numCache>
            </c:numRef>
          </c:val>
          <c:extLst>
            <c:ext xmlns:c16="http://schemas.microsoft.com/office/drawing/2014/chart" uri="{C3380CC4-5D6E-409C-BE32-E72D297353CC}">
              <c16:uniqueId val="{00000000-75E0-423C-978F-4ADFAF8019CF}"/>
            </c:ext>
          </c:extLst>
        </c:ser>
        <c:dLbls>
          <c:showLegendKey val="0"/>
          <c:showVal val="0"/>
          <c:showCatName val="0"/>
          <c:showSerName val="0"/>
          <c:showPercent val="0"/>
          <c:showBubbleSize val="0"/>
        </c:dLbls>
        <c:gapWidth val="219"/>
        <c:overlap val="-27"/>
        <c:axId val="227351056"/>
        <c:axId val="227350576"/>
      </c:barChart>
      <c:lineChart>
        <c:grouping val="standard"/>
        <c:varyColors val="0"/>
        <c:ser>
          <c:idx val="1"/>
          <c:order val="1"/>
          <c:tx>
            <c:strRef>
              <c:f>Analytics!$J$15</c:f>
              <c:strCache>
                <c:ptCount val="1"/>
                <c:pt idx="0">
                  <c:v>Sum of Estimated Value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Analytics!$H$16:$H$17</c:f>
              <c:strCache>
                <c:ptCount val="1"/>
                <c:pt idx="0">
                  <c:v>01.01.2024</c:v>
                </c:pt>
              </c:strCache>
            </c:strRef>
          </c:cat>
          <c:val>
            <c:numRef>
              <c:f>Analytics!$J$16:$J$17</c:f>
              <c:numCache>
                <c:formatCode>General</c:formatCode>
                <c:ptCount val="1"/>
                <c:pt idx="0">
                  <c:v>0</c:v>
                </c:pt>
              </c:numCache>
            </c:numRef>
          </c:val>
          <c:smooth val="0"/>
          <c:extLst>
            <c:ext xmlns:c16="http://schemas.microsoft.com/office/drawing/2014/chart" uri="{C3380CC4-5D6E-409C-BE32-E72D297353CC}">
              <c16:uniqueId val="{00000001-75E0-423C-978F-4ADFAF8019CF}"/>
            </c:ext>
          </c:extLst>
        </c:ser>
        <c:ser>
          <c:idx val="2"/>
          <c:order val="2"/>
          <c:tx>
            <c:strRef>
              <c:f>Analytics!$K$15</c:f>
              <c:strCache>
                <c:ptCount val="1"/>
                <c:pt idx="0">
                  <c:v>Sum of Purchase Price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Analytics!$H$16:$H$17</c:f>
              <c:strCache>
                <c:ptCount val="1"/>
                <c:pt idx="0">
                  <c:v>01.01.2024</c:v>
                </c:pt>
              </c:strCache>
            </c:strRef>
          </c:cat>
          <c:val>
            <c:numRef>
              <c:f>Analytics!$K$16:$K$17</c:f>
              <c:numCache>
                <c:formatCode>General</c:formatCode>
                <c:ptCount val="1"/>
                <c:pt idx="0">
                  <c:v>0</c:v>
                </c:pt>
              </c:numCache>
            </c:numRef>
          </c:val>
          <c:smooth val="0"/>
          <c:extLst>
            <c:ext xmlns:c16="http://schemas.microsoft.com/office/drawing/2014/chart" uri="{C3380CC4-5D6E-409C-BE32-E72D297353CC}">
              <c16:uniqueId val="{00000002-75E0-423C-978F-4ADFAF8019CF}"/>
            </c:ext>
          </c:extLst>
        </c:ser>
        <c:dLbls>
          <c:showLegendKey val="0"/>
          <c:showVal val="0"/>
          <c:showCatName val="0"/>
          <c:showSerName val="0"/>
          <c:showPercent val="0"/>
          <c:showBubbleSize val="0"/>
        </c:dLbls>
        <c:marker val="1"/>
        <c:smooth val="0"/>
        <c:axId val="227348176"/>
        <c:axId val="227360656"/>
      </c:lineChart>
      <c:catAx>
        <c:axId val="22734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7360656"/>
        <c:crosses val="autoZero"/>
        <c:auto val="1"/>
        <c:lblAlgn val="ctr"/>
        <c:lblOffset val="100"/>
        <c:noMultiLvlLbl val="0"/>
      </c:catAx>
      <c:valAx>
        <c:axId val="227360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7348176"/>
        <c:crosses val="autoZero"/>
        <c:crossBetween val="between"/>
      </c:valAx>
      <c:valAx>
        <c:axId val="2273505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7351056"/>
        <c:crosses val="max"/>
        <c:crossBetween val="between"/>
      </c:valAx>
      <c:catAx>
        <c:axId val="227351056"/>
        <c:scaling>
          <c:orientation val="minMax"/>
        </c:scaling>
        <c:delete val="1"/>
        <c:axPos val="b"/>
        <c:numFmt formatCode="General" sourceLinked="1"/>
        <c:majorTickMark val="out"/>
        <c:minorTickMark val="none"/>
        <c:tickLblPos val="nextTo"/>
        <c:crossAx val="227350576"/>
        <c:crosses val="autoZero"/>
        <c:auto val="1"/>
        <c:lblAlgn val="ctr"/>
        <c:lblOffset val="100"/>
        <c:noMultiLvlLbl val="0"/>
      </c:catAx>
      <c:spPr>
        <a:noFill/>
        <a:ln>
          <a:noFill/>
        </a:ln>
        <a:effectLst/>
      </c:spPr>
    </c:plotArea>
    <c:legend>
      <c:legendPos val="r"/>
      <c:layout>
        <c:manualLayout>
          <c:xMode val="edge"/>
          <c:yMode val="edge"/>
          <c:x val="0"/>
          <c:y val="0"/>
          <c:w val="0.99999048556430448"/>
          <c:h val="5.41005697458549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3608000</xdr:colOff>
      <xdr:row>0</xdr:row>
      <xdr:rowOff>0</xdr:rowOff>
    </xdr:from>
    <xdr:to>
      <xdr:col>16</xdr:col>
      <xdr:colOff>3968000</xdr:colOff>
      <xdr:row>0</xdr:row>
      <xdr:rowOff>360000</xdr:rowOff>
    </xdr:to>
    <xdr:pic macro="[0]!RunInsertCroppedImagesOnAllSheets">
      <xdr:nvPicPr>
        <xdr:cNvPr id="1258" name="Рисунок 1257" descr="Повторить со сплошной заливкой">
          <a:extLst>
            <a:ext uri="{FF2B5EF4-FFF2-40B4-BE49-F238E27FC236}">
              <a16:creationId xmlns:a16="http://schemas.microsoft.com/office/drawing/2014/main" id="{4B67F44E-686F-6377-2B9F-2BD6A009C45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752500" y="0"/>
          <a:ext cx="360000" cy="360000"/>
        </a:xfrm>
        <a:prstGeom prst="rect">
          <a:avLst/>
        </a:prstGeom>
      </xdr:spPr>
    </xdr:pic>
    <xdr:clientData/>
  </xdr:twoCellAnchor>
  <xdr:twoCellAnchor editAs="oneCell">
    <xdr:from>
      <xdr:col>3</xdr:col>
      <xdr:colOff>108375</xdr:colOff>
      <xdr:row>1</xdr:row>
      <xdr:rowOff>40125</xdr:rowOff>
    </xdr:from>
    <xdr:to>
      <xdr:col>3</xdr:col>
      <xdr:colOff>558375</xdr:colOff>
      <xdr:row>1</xdr:row>
      <xdr:rowOff>436125</xdr:rowOff>
    </xdr:to>
    <xdr:pic>
      <xdr:nvPicPr>
        <xdr:cNvPr id="3" name="pic_2_3">
          <a:extLst>
            <a:ext uri="{FF2B5EF4-FFF2-40B4-BE49-F238E27FC236}">
              <a16:creationId xmlns:a16="http://schemas.microsoft.com/office/drawing/2014/main" id="{C834501F-C9E3-FD79-862F-05E5FA16694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l="23529" t="42857" r="23529"/>
        <a:stretch>
          <a:fillRect/>
        </a:stretch>
      </xdr:blipFill>
      <xdr:spPr>
        <a:xfrm>
          <a:off x="2013375" y="421125"/>
          <a:ext cx="450000" cy="396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209550</xdr:colOff>
      <xdr:row>17</xdr:row>
      <xdr:rowOff>28576</xdr:rowOff>
    </xdr:from>
    <xdr:to>
      <xdr:col>2</xdr:col>
      <xdr:colOff>569550</xdr:colOff>
      <xdr:row>18</xdr:row>
      <xdr:rowOff>188551</xdr:rowOff>
    </xdr:to>
    <xdr:pic macro="[0]!RunInsertCroppedImagesOnAllSheets">
      <xdr:nvPicPr>
        <xdr:cNvPr id="56" name="Рисунок 55" descr="Повторить со сплошной заливкой">
          <a:extLst>
            <a:ext uri="{FF2B5EF4-FFF2-40B4-BE49-F238E27FC236}">
              <a16:creationId xmlns:a16="http://schemas.microsoft.com/office/drawing/2014/main" id="{962FD377-0061-4A28-BC55-1BF10AACB2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33550" y="3371851"/>
          <a:ext cx="360000" cy="360000"/>
        </a:xfrm>
        <a:prstGeom prst="rect">
          <a:avLst/>
        </a:prstGeom>
      </xdr:spPr>
    </xdr:pic>
    <xdr:clientData/>
  </xdr:twoCellAnchor>
  <xdr:twoCellAnchor editAs="oneCell">
    <xdr:from>
      <xdr:col>4</xdr:col>
      <xdr:colOff>217913</xdr:colOff>
      <xdr:row>18</xdr:row>
      <xdr:rowOff>192525</xdr:rowOff>
    </xdr:from>
    <xdr:to>
      <xdr:col>4</xdr:col>
      <xdr:colOff>667913</xdr:colOff>
      <xdr:row>20</xdr:row>
      <xdr:rowOff>7500</xdr:rowOff>
    </xdr:to>
    <xdr:pic>
      <xdr:nvPicPr>
        <xdr:cNvPr id="3" name="pic_dashboard_20">
          <a:extLst>
            <a:ext uri="{FF2B5EF4-FFF2-40B4-BE49-F238E27FC236}">
              <a16:creationId xmlns:a16="http://schemas.microsoft.com/office/drawing/2014/main" id="{E2384FA0-A92F-076C-D799-D325273C209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l="23529" t="42857" r="23529"/>
        <a:stretch>
          <a:fillRect/>
        </a:stretch>
      </xdr:blipFill>
      <xdr:spPr>
        <a:xfrm>
          <a:off x="3389738" y="3735825"/>
          <a:ext cx="450000" cy="396000"/>
        </a:xfrm>
        <a:prstGeom prst="rect">
          <a:avLst/>
        </a:prstGeom>
      </xdr:spPr>
    </xdr:pic>
    <xdr:clientData/>
  </xdr:twoCellAnchor>
  <xdr:twoCellAnchor editAs="oneCell">
    <xdr:from>
      <xdr:col>0</xdr:col>
      <xdr:colOff>0</xdr:colOff>
      <xdr:row>9</xdr:row>
      <xdr:rowOff>0</xdr:rowOff>
    </xdr:from>
    <xdr:to>
      <xdr:col>3</xdr:col>
      <xdr:colOff>0</xdr:colOff>
      <xdr:row>16</xdr:row>
      <xdr:rowOff>9525</xdr:rowOff>
    </xdr:to>
    <mc:AlternateContent xmlns:mc="http://schemas.openxmlformats.org/markup-compatibility/2006" xmlns:tsle="http://schemas.microsoft.com/office/drawing/2012/timeslicer">
      <mc:Choice Requires="tsle">
        <xdr:graphicFrame macro="">
          <xdr:nvGraphicFramePr>
            <xdr:cNvPr id="4" name="Purchase Date">
              <a:extLst>
                <a:ext uri="{FF2B5EF4-FFF2-40B4-BE49-F238E27FC236}">
                  <a16:creationId xmlns:a16="http://schemas.microsoft.com/office/drawing/2014/main" id="{11446CD5-4398-4876-9A1E-DA0952BDBA98}"/>
                </a:ext>
              </a:extLst>
            </xdr:cNvPr>
            <xdr:cNvGraphicFramePr/>
          </xdr:nvGraphicFramePr>
          <xdr:xfrm>
            <a:off x="0" y="0"/>
            <a:ext cx="0" cy="0"/>
          </xdr:xfrm>
          <a:graphic>
            <a:graphicData uri="http://schemas.microsoft.com/office/drawing/2012/timeslicer">
              <tsle:timeslicer name="Purchase Date"/>
            </a:graphicData>
          </a:graphic>
        </xdr:graphicFrame>
      </mc:Choice>
      <mc:Fallback xmlns="">
        <xdr:sp macro="" textlink="">
          <xdr:nvSpPr>
            <xdr:cNvPr id="0" name=""/>
            <xdr:cNvSpPr>
              <a:spLocks noTextEdit="1"/>
            </xdr:cNvSpPr>
          </xdr:nvSpPr>
          <xdr:spPr>
            <a:xfrm>
              <a:off x="0" y="1781175"/>
              <a:ext cx="2286000" cy="1371600"/>
            </a:xfrm>
            <a:prstGeom prst="rect">
              <a:avLst/>
            </a:prstGeom>
            <a:solidFill>
              <a:prstClr val="white"/>
            </a:solidFill>
            <a:ln w="1">
              <a:solidFill>
                <a:prstClr val="green"/>
              </a:solidFill>
            </a:ln>
          </xdr:spPr>
          <xdr:txBody>
            <a:bodyPr vertOverflow="clip" horzOverflow="clip"/>
            <a:lstStyle/>
            <a:p>
              <a:r>
                <a:rPr lang="ru-RU" sz="1100"/>
                <a:t>Timeline: Works in Excel 2013 or higher. Do not move or resize.</a:t>
              </a:r>
            </a:p>
          </xdr:txBody>
        </xdr:sp>
      </mc:Fallback>
    </mc:AlternateContent>
    <xdr:clientData/>
  </xdr:twoCellAnchor>
  <xdr:twoCellAnchor editAs="oneCell">
    <xdr:from>
      <xdr:col>0</xdr:col>
      <xdr:colOff>0</xdr:colOff>
      <xdr:row>0</xdr:row>
      <xdr:rowOff>0</xdr:rowOff>
    </xdr:from>
    <xdr:to>
      <xdr:col>3</xdr:col>
      <xdr:colOff>0</xdr:colOff>
      <xdr:row>9</xdr:row>
      <xdr:rowOff>0</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0A5B13AE-675A-4C41-BD65-D13C92600EC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0"/>
              <a:ext cx="2286000" cy="1781175"/>
            </a:xfrm>
            <a:prstGeom prst="rect">
              <a:avLst/>
            </a:prstGeom>
            <a:solidFill>
              <a:prstClr val="white"/>
            </a:solidFill>
            <a:ln w="1">
              <a:solidFill>
                <a:prstClr val="green"/>
              </a:solidFill>
            </a:ln>
          </xdr:spPr>
          <xdr:txBody>
            <a:bodyPr vertOverflow="clip" horzOverflow="clip"/>
            <a:lstStyle/>
            <a:p>
              <a:r>
                <a:rPr lang="ru-R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0</xdr:colOff>
      <xdr:row>0</xdr:row>
      <xdr:rowOff>19050</xdr:rowOff>
    </xdr:from>
    <xdr:to>
      <xdr:col>15</xdr:col>
      <xdr:colOff>0</xdr:colOff>
      <xdr:row>16</xdr:row>
      <xdr:rowOff>0</xdr:rowOff>
    </xdr:to>
    <xdr:graphicFrame macro="">
      <xdr:nvGraphicFramePr>
        <xdr:cNvPr id="6" name="Chart 5">
          <a:extLst>
            <a:ext uri="{FF2B5EF4-FFF2-40B4-BE49-F238E27FC236}">
              <a16:creationId xmlns:a16="http://schemas.microsoft.com/office/drawing/2014/main" id="{F1756254-281D-417C-9E60-D11D53E883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1042;&#1077;&#1088;&#1086;&#1085;&#1080;&#1082;&#1072;\Desktop\Pokemon%20Collection\MyPokemonCollection.xlsm" TargetMode="External"/><Relationship Id="rId1" Type="http://schemas.openxmlformats.org/officeDocument/2006/relationships/externalLinkPath" Target="/Users/&#1042;&#1077;&#1088;&#1086;&#1085;&#1080;&#1082;&#1072;/Desktop/Pokemon%20Collection/MyPokemonColle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Основной лист"/>
      <sheetName val="Покемоны"/>
      <sheetName val="Дэшборд"/>
      <sheetName val="Списки"/>
      <sheetName val="Статистика"/>
    </sheetNames>
    <sheetDataSet>
      <sheetData sheetId="0"/>
      <sheetData sheetId="1"/>
      <sheetData sheetId="2"/>
      <sheetData sheetId="3">
        <row r="2">
          <cell r="A2" t="str">
            <v>Плюш</v>
          </cell>
          <cell r="B2" t="str">
            <v>Banpresto</v>
          </cell>
          <cell r="C2" t="str">
            <v>VK</v>
          </cell>
          <cell r="D2" t="str">
            <v>+</v>
          </cell>
        </row>
        <row r="3">
          <cell r="A3" t="str">
            <v>Фигурка</v>
          </cell>
          <cell r="B3" t="str">
            <v>Bandai</v>
          </cell>
          <cell r="C3" t="str">
            <v>Мерч</v>
          </cell>
        </row>
        <row r="4">
          <cell r="A4" t="str">
            <v>Значок</v>
          </cell>
          <cell r="B4" t="str">
            <v>Subarudo</v>
          </cell>
          <cell r="C4" t="str">
            <v>Лапушные</v>
          </cell>
        </row>
        <row r="5">
          <cell r="A5" t="str">
            <v>Брелок</v>
          </cell>
          <cell r="B5" t="str">
            <v>Pokemon Center</v>
          </cell>
          <cell r="C5" t="str">
            <v>Покецентр</v>
          </cell>
        </row>
        <row r="6">
          <cell r="A6" t="str">
            <v>Полотенце</v>
          </cell>
          <cell r="B6" t="str">
            <v>San-Ei</v>
          </cell>
          <cell r="C6" t="str">
            <v>Авито</v>
          </cell>
        </row>
        <row r="7">
          <cell r="A7" t="str">
            <v>Посуда</v>
          </cell>
          <cell r="B7" t="str">
            <v>Hasbro</v>
          </cell>
          <cell r="C7" t="str">
            <v>Али</v>
          </cell>
        </row>
        <row r="8">
          <cell r="A8" t="str">
            <v>Аксессуар</v>
          </cell>
          <cell r="B8" t="str">
            <v>Takara Tomy</v>
          </cell>
          <cell r="C8" t="str">
            <v>Подарок</v>
          </cell>
        </row>
        <row r="9">
          <cell r="A9" t="str">
            <v>Одежда</v>
          </cell>
          <cell r="B9" t="str">
            <v>Re-ment</v>
          </cell>
          <cell r="C9" t="str">
            <v>Другое</v>
          </cell>
        </row>
        <row r="10">
          <cell r="A10" t="str">
            <v>Другое</v>
          </cell>
          <cell r="B10" t="str">
            <v>Kitan Club</v>
          </cell>
        </row>
        <row r="11">
          <cell r="B11" t="str">
            <v>OddzOn Inc.</v>
          </cell>
        </row>
        <row r="12">
          <cell r="B12" t="str">
            <v>McDonald's</v>
          </cell>
        </row>
        <row r="13">
          <cell r="B13" t="str">
            <v>Pepsi</v>
          </cell>
        </row>
        <row r="14">
          <cell r="B14" t="str">
            <v>Кастом</v>
          </cell>
        </row>
        <row r="15">
          <cell r="B15" t="str">
            <v>Другое</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Вероника" refreshedDate="45460.812335185183" createdVersion="8" refreshedVersion="8" minRefreshableVersion="3" recordCount="1" xr:uid="{5AAEDC4E-6A52-45DD-A913-AE7323C3D59E}">
  <cacheSource type="worksheet">
    <worksheetSource name="Основная"/>
  </cacheSource>
  <cacheFields count="17">
    <cacheField name="№" numFmtId="0">
      <sharedItems containsSemiMixedTypes="0" containsString="0" containsNumber="1" containsInteger="1" minValue="1" maxValue="1"/>
    </cacheField>
    <cacheField name="Photo" numFmtId="0">
      <sharedItems containsNonDate="0" containsString="0" containsBlank="1"/>
    </cacheField>
    <cacheField name="Pokemon" numFmtId="0">
      <sharedItems count="1">
        <s v="pikachu"/>
      </sharedItems>
    </cacheField>
    <cacheField name="Sprite" numFmtId="0">
      <sharedItems containsNonDate="0" containsString="0" containsBlank="1"/>
    </cacheField>
    <cacheField name="Category" numFmtId="0">
      <sharedItems count="1">
        <s v="Plushie"/>
      </sharedItems>
    </cacheField>
    <cacheField name="Manufacturer" numFmtId="0">
      <sharedItems count="1">
        <s v="Banpresto"/>
      </sharedItems>
    </cacheField>
    <cacheField name="Collection" numFmtId="0">
      <sharedItems containsNonDate="0" containsString="0" containsBlank="1"/>
    </cacheField>
    <cacheField name="Release Year" numFmtId="0">
      <sharedItems containsSemiMixedTypes="0" containsString="0" containsNumber="1" containsInteger="1" minValue="2020" maxValue="2020"/>
    </cacheField>
    <cacheField name="Estimated Value" numFmtId="0">
      <sharedItems containsSemiMixedTypes="0" containsString="0" containsNumber="1" containsInteger="1" minValue="0" maxValue="0"/>
    </cacheField>
    <cacheField name="Purchase Price" numFmtId="0">
      <sharedItems containsSemiMixedTypes="0" containsString="0" containsNumber="1" containsInteger="1" minValue="0" maxValue="0"/>
    </cacheField>
    <cacheField name="Purchase Date" numFmtId="14">
      <sharedItems containsSemiMixedTypes="0" containsNonDate="0" containsDate="1" containsString="0" minDate="2024-01-01T00:00:00" maxDate="2024-01-02T00:00:00" count="1">
        <d v="2024-01-01T00:00:00"/>
      </sharedItems>
    </cacheField>
    <cacheField name="Purchased from" numFmtId="0">
      <sharedItems/>
    </cacheField>
    <cacheField name="Tag / Box" numFmtId="0">
      <sharedItems/>
    </cacheField>
    <cacheField name="Size" numFmtId="0">
      <sharedItems/>
    </cacheField>
    <cacheField name="Condition" numFmtId="0">
      <sharedItems containsSemiMixedTypes="0" containsString="0" containsNumber="1" containsInteger="1" minValue="10" maxValue="10"/>
    </cacheField>
    <cacheField name="Love" numFmtId="0">
      <sharedItems containsSemiMixedTypes="0" containsString="0" containsNumber="1" containsInteger="1" minValue="10" maxValue="10"/>
    </cacheField>
    <cacheField name="Notes" numFmtId="0">
      <sharedItems/>
    </cacheField>
  </cacheFields>
  <extLst>
    <ext xmlns:x14="http://schemas.microsoft.com/office/spreadsheetml/2009/9/main" uri="{725AE2AE-9491-48be-B2B4-4EB974FC3084}">
      <x14:pivotCacheDefinition pivotCacheId="21257986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n v="1"/>
    <m/>
    <x v="0"/>
    <m/>
    <x v="0"/>
    <x v="0"/>
    <m/>
    <n v="2020"/>
    <n v="0"/>
    <n v="0"/>
    <x v="0"/>
    <s v="eBay"/>
    <s v="+"/>
    <s v="15 cm"/>
    <n v="10"/>
    <n v="10"/>
    <s v="First plush in your collec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4A291F-AE1B-4D36-AF7E-531EEE2218CF}" name="Top Pokemons" cacheId="7" applyNumberFormats="0" applyBorderFormats="0" applyFontFormats="0" applyPatternFormats="0" applyAlignmentFormats="0" applyWidthHeightFormats="1" dataCaption="Значения" updatedVersion="8" minRefreshableVersion="5" useAutoFormatting="1" itemPrintTitles="1" createdVersion="8" indent="0" outline="1" outlineData="1" multipleFieldFilters="0" rowHeaderCaption="Top Pokemons">
  <location ref="E15:F17" firstHeaderRow="1" firstDataRow="1" firstDataCol="1"/>
  <pivotFields count="17">
    <pivotField dataField="1" showAll="0"/>
    <pivotField showAll="0"/>
    <pivotField axis="axisRow" showAll="0">
      <items count="2">
        <item x="0"/>
        <item t="default"/>
      </items>
    </pivotField>
    <pivotField showAll="0"/>
    <pivotField showAll="0">
      <items count="2">
        <item x="0"/>
        <item t="default"/>
      </items>
    </pivotField>
    <pivotField showAll="0"/>
    <pivotField showAll="0"/>
    <pivotField showAll="0"/>
    <pivotField showAll="0"/>
    <pivotField showAll="0"/>
    <pivotField numFmtId="14" showAll="0">
      <items count="2">
        <item x="0"/>
        <item t="default"/>
      </items>
    </pivotField>
    <pivotField showAll="0"/>
    <pivotField showAll="0"/>
    <pivotField showAll="0"/>
    <pivotField showAll="0"/>
    <pivotField showAll="0"/>
    <pivotField showAll="0"/>
  </pivotFields>
  <rowFields count="1">
    <field x="2"/>
  </rowFields>
  <rowItems count="2">
    <i>
      <x/>
    </i>
    <i t="grand">
      <x/>
    </i>
  </rowItems>
  <colItems count="1">
    <i/>
  </colItems>
  <dataFields count="1">
    <dataField name="Number of items"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24EBAC-AC59-448D-8D4F-CA319F362573}" name="Average love" cacheId="7" applyNumberFormats="0" applyBorderFormats="0" applyFontFormats="0" applyPatternFormats="0" applyAlignmentFormats="0" applyWidthHeightFormats="1" dataCaption="Значения" updatedVersion="8" minRefreshableVersion="5" useAutoFormatting="1" itemPrintTitles="1" createdVersion="8" indent="0" outline="1" outlineData="1" multipleFieldFilters="0">
  <location ref="T23:T24" firstHeaderRow="1" firstDataRow="1" firstDataCol="0"/>
  <pivotFields count="17">
    <pivotField showAll="0"/>
    <pivotField showAll="0"/>
    <pivotField showAll="0"/>
    <pivotField showAll="0"/>
    <pivotField showAll="0">
      <items count="2">
        <item x="0"/>
        <item t="default"/>
      </items>
    </pivotField>
    <pivotField showAll="0"/>
    <pivotField showAll="0"/>
    <pivotField showAll="0"/>
    <pivotField showAll="0"/>
    <pivotField showAll="0"/>
    <pivotField numFmtId="14" showAll="0">
      <items count="2">
        <item x="0"/>
        <item t="default"/>
      </items>
    </pivotField>
    <pivotField showAll="0"/>
    <pivotField showAll="0"/>
    <pivotField showAll="0"/>
    <pivotField showAll="0"/>
    <pivotField dataField="1" showAll="0"/>
    <pivotField showAll="0"/>
  </pivotFields>
  <rowItems count="1">
    <i/>
  </rowItems>
  <colItems count="1">
    <i/>
  </colItems>
  <dataFields count="1">
    <dataField name="Average of Love" fld="15"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4D92B1-07EE-4252-A861-3E86B1E1AACE}" name="Average PP" cacheId="7" applyNumberFormats="0" applyBorderFormats="0" applyFontFormats="0" applyPatternFormats="0" applyAlignmentFormats="0" applyWidthHeightFormats="1" dataCaption="Значения" updatedVersion="8" minRefreshableVersion="5" useAutoFormatting="1" itemPrintTitles="1" createdVersion="8" indent="0" outline="1" outlineData="1" multipleFieldFilters="0">
  <location ref="O1:O2" firstHeaderRow="1" firstDataRow="1" firstDataCol="0"/>
  <pivotFields count="17">
    <pivotField showAll="0"/>
    <pivotField showAll="0"/>
    <pivotField showAll="0"/>
    <pivotField showAll="0"/>
    <pivotField showAll="0">
      <items count="2">
        <item x="0"/>
        <item t="default"/>
      </items>
    </pivotField>
    <pivotField showAll="0"/>
    <pivotField showAll="0"/>
    <pivotField showAll="0"/>
    <pivotField showAll="0"/>
    <pivotField dataField="1" showAll="0"/>
    <pivotField numFmtId="14" showAll="0">
      <items count="2">
        <item x="0"/>
        <item t="default"/>
      </items>
    </pivotField>
    <pivotField showAll="0"/>
    <pivotField showAll="0"/>
    <pivotField showAll="0"/>
    <pivotField showAll="0"/>
    <pivotField showAll="0"/>
    <pivotField showAll="0"/>
  </pivotFields>
  <rowItems count="1">
    <i/>
  </rowItems>
  <colItems count="1">
    <i/>
  </colItems>
  <dataFields count="1">
    <dataField name="Average of Purchase Price" fld="9"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0F0A40-E433-4EC3-A218-B1C070CFD167}" name="Top Manufacturers" cacheId="7" applyNumberFormats="0" applyBorderFormats="0" applyFontFormats="0" applyPatternFormats="0" applyAlignmentFormats="0" applyWidthHeightFormats="1" dataCaption="Значения" grandTotalCaption="Grand Total" updatedVersion="8" minRefreshableVersion="5" useAutoFormatting="1" itemPrintTitles="1" createdVersion="8" indent="0" outline="1" outlineData="1" multipleFieldFilters="0" rowHeaderCaption="Top Manufacturers">
  <location ref="A1:B3" firstHeaderRow="1" firstDataRow="1" firstDataCol="1"/>
  <pivotFields count="17">
    <pivotField dataField="1" showAll="0"/>
    <pivotField showAll="0"/>
    <pivotField showAll="0"/>
    <pivotField showAll="0"/>
    <pivotField showAll="0">
      <items count="2">
        <item x="0"/>
        <item t="default"/>
      </items>
    </pivotField>
    <pivotField axis="axisRow" showAll="0">
      <items count="2">
        <item x="0"/>
        <item t="default"/>
      </items>
    </pivotField>
    <pivotField showAll="0"/>
    <pivotField showAll="0"/>
    <pivotField showAll="0"/>
    <pivotField showAll="0"/>
    <pivotField numFmtId="14" showAll="0">
      <items count="2">
        <item x="0"/>
        <item t="default"/>
      </items>
    </pivotField>
    <pivotField showAll="0"/>
    <pivotField showAll="0"/>
    <pivotField showAll="0"/>
    <pivotField showAll="0"/>
    <pivotField showAll="0"/>
    <pivotField showAll="0"/>
  </pivotFields>
  <rowFields count="1">
    <field x="5"/>
  </rowFields>
  <rowItems count="2">
    <i>
      <x/>
    </i>
    <i t="grand">
      <x/>
    </i>
  </rowItems>
  <colItems count="1">
    <i/>
  </colItems>
  <dataFields count="1">
    <dataField name="Number"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B7B927-8A6C-4C62-9143-AF1DFD4C5AD5}" name="Average EV" cacheId="7" applyNumberFormats="0" applyBorderFormats="0" applyFontFormats="0" applyPatternFormats="0" applyAlignmentFormats="0" applyWidthHeightFormats="1" dataCaption="Значения" updatedVersion="8" minRefreshableVersion="5" useAutoFormatting="1" itemPrintTitles="1" createdVersion="8" indent="0" outline="1" outlineData="1" multipleFieldFilters="0">
  <location ref="L1:L2" firstHeaderRow="1" firstDataRow="1" firstDataCol="0"/>
  <pivotFields count="17">
    <pivotField showAll="0"/>
    <pivotField showAll="0"/>
    <pivotField showAll="0"/>
    <pivotField showAll="0"/>
    <pivotField showAll="0">
      <items count="2">
        <item x="0"/>
        <item t="default"/>
      </items>
    </pivotField>
    <pivotField showAll="0"/>
    <pivotField showAll="0"/>
    <pivotField showAll="0"/>
    <pivotField dataField="1" showAll="0"/>
    <pivotField showAll="0"/>
    <pivotField numFmtId="14" showAll="0">
      <items count="2">
        <item x="0"/>
        <item t="default"/>
      </items>
    </pivotField>
    <pivotField showAll="0"/>
    <pivotField showAll="0"/>
    <pivotField showAll="0"/>
    <pivotField showAll="0"/>
    <pivotField showAll="0"/>
    <pivotField showAll="0"/>
  </pivotFields>
  <rowItems count="1">
    <i/>
  </rowItems>
  <colItems count="1">
    <i/>
  </colItems>
  <dataFields count="1">
    <dataField name="Average of Estimated Value" fld="8"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797938-3E24-422F-B9F8-6160DE0F2C6A}" name="Average condition" cacheId="7" applyNumberFormats="0" applyBorderFormats="0" applyFontFormats="0" applyPatternFormats="0" applyAlignmentFormats="0" applyWidthHeightFormats="1" dataCaption="Значения" updatedVersion="8" minRefreshableVersion="5" useAutoFormatting="1" itemPrintTitles="1" createdVersion="8" indent="0" outline="1" outlineData="1" multipleFieldFilters="0">
  <location ref="T1:T2" firstHeaderRow="1" firstDataRow="1" firstDataCol="0"/>
  <pivotFields count="17">
    <pivotField showAll="0"/>
    <pivotField showAll="0"/>
    <pivotField showAll="0"/>
    <pivotField showAll="0"/>
    <pivotField showAll="0">
      <items count="2">
        <item x="0"/>
        <item t="default"/>
      </items>
    </pivotField>
    <pivotField showAll="0"/>
    <pivotField showAll="0"/>
    <pivotField showAll="0"/>
    <pivotField showAll="0"/>
    <pivotField showAll="0"/>
    <pivotField numFmtId="14" showAll="0">
      <items count="2">
        <item x="0"/>
        <item t="default"/>
      </items>
    </pivotField>
    <pivotField showAll="0"/>
    <pivotField showAll="0"/>
    <pivotField showAll="0"/>
    <pivotField dataField="1" showAll="0"/>
    <pivotField showAll="0"/>
    <pivotField showAll="0"/>
  </pivotFields>
  <rowItems count="1">
    <i/>
  </rowItems>
  <colItems count="1">
    <i/>
  </colItems>
  <dataFields count="1">
    <dataField name="Average of Condition" fld="1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E8A0C2-7F6E-41C8-85BD-2ADDCACC275B}" name="Dates" cacheId="7" applyNumberFormats="0" applyBorderFormats="0" applyFontFormats="0" applyPatternFormats="0" applyAlignmentFormats="0" applyWidthHeightFormats="1" dataCaption="Значения" grandTotalCaption="Grand Total" updatedVersion="8" minRefreshableVersion="5" useAutoFormatting="1" itemPrintTitles="1" createdVersion="8" indent="0" outline="1" outlineData="1" multipleFieldFilters="0" chartFormat="54" rowHeaderCaption="Dates">
  <location ref="H15:K17" firstHeaderRow="0" firstDataRow="1" firstDataCol="1"/>
  <pivotFields count="17">
    <pivotField dataField="1" showAll="0"/>
    <pivotField showAll="0"/>
    <pivotField showAll="0"/>
    <pivotField showAll="0"/>
    <pivotField showAll="0">
      <items count="2">
        <item x="0"/>
        <item t="default"/>
      </items>
    </pivotField>
    <pivotField showAll="0"/>
    <pivotField showAll="0"/>
    <pivotField showAll="0"/>
    <pivotField dataField="1" showAll="0"/>
    <pivotField dataField="1" showAll="0"/>
    <pivotField axis="axisRow" numFmtId="14" showAll="0">
      <items count="2">
        <item x="0"/>
        <item t="default"/>
      </items>
    </pivotField>
    <pivotField showAll="0"/>
    <pivotField showAll="0"/>
    <pivotField showAll="0"/>
    <pivotField showAll="0"/>
    <pivotField showAll="0"/>
    <pivotField showAll="0"/>
  </pivotFields>
  <rowFields count="1">
    <field x="10"/>
  </rowFields>
  <rowItems count="2">
    <i>
      <x/>
    </i>
    <i t="grand">
      <x/>
    </i>
  </rowItems>
  <colFields count="1">
    <field x="-2"/>
  </colFields>
  <colItems count="3">
    <i>
      <x/>
    </i>
    <i i="1">
      <x v="1"/>
    </i>
    <i i="2">
      <x v="2"/>
    </i>
  </colItems>
  <dataFields count="3">
    <dataField name="Number" fld="0" subtotal="count" baseField="0" baseItem="0"/>
    <dataField name="Sum of Estimated Value" fld="8" baseField="0" baseItem="0"/>
    <dataField name="Sum of Purchase Price" fld="9" baseField="0" baseItem="0"/>
  </dataFields>
  <chartFormats count="15">
    <chartFormat chart="17" format="4"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1"/>
          </reference>
        </references>
      </pivotArea>
    </chartFormat>
    <chartFormat chart="17" format="9" series="1">
      <pivotArea type="data" outline="0" fieldPosition="0">
        <references count="1">
          <reference field="4294967294" count="1" selected="0">
            <x v="2"/>
          </reference>
        </references>
      </pivotArea>
    </chartFormat>
    <chartFormat chart="50" format="0"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1"/>
          </reference>
        </references>
      </pivotArea>
    </chartFormat>
    <chartFormat chart="50" format="2" series="1">
      <pivotArea type="data" outline="0" fieldPosition="0">
        <references count="1">
          <reference field="4294967294" count="1" selected="0">
            <x v="2"/>
          </reference>
        </references>
      </pivotArea>
    </chartFormat>
    <chartFormat chart="51" format="3" series="1">
      <pivotArea type="data" outline="0" fieldPosition="0">
        <references count="1">
          <reference field="4294967294" count="1" selected="0">
            <x v="0"/>
          </reference>
        </references>
      </pivotArea>
    </chartFormat>
    <chartFormat chart="51" format="4" series="1">
      <pivotArea type="data" outline="0" fieldPosition="0">
        <references count="1">
          <reference field="4294967294" count="1" selected="0">
            <x v="1"/>
          </reference>
        </references>
      </pivotArea>
    </chartFormat>
    <chartFormat chart="51" format="5" series="1">
      <pivotArea type="data" outline="0" fieldPosition="0">
        <references count="1">
          <reference field="4294967294" count="1" selected="0">
            <x v="2"/>
          </reference>
        </references>
      </pivotArea>
    </chartFormat>
    <chartFormat chart="52" format="6" series="1">
      <pivotArea type="data" outline="0" fieldPosition="0">
        <references count="1">
          <reference field="4294967294" count="1" selected="0">
            <x v="0"/>
          </reference>
        </references>
      </pivotArea>
    </chartFormat>
    <chartFormat chart="52" format="7" series="1">
      <pivotArea type="data" outline="0" fieldPosition="0">
        <references count="1">
          <reference field="4294967294" count="1" selected="0">
            <x v="1"/>
          </reference>
        </references>
      </pivotArea>
    </chartFormat>
    <chartFormat chart="52" format="8" series="1">
      <pivotArea type="data" outline="0" fieldPosition="0">
        <references count="1">
          <reference field="4294967294" count="1" selected="0">
            <x v="2"/>
          </reference>
        </references>
      </pivotArea>
    </chartFormat>
    <chartFormat chart="53" format="6" series="1">
      <pivotArea type="data" outline="0" fieldPosition="0">
        <references count="1">
          <reference field="4294967294" count="1" selected="0">
            <x v="0"/>
          </reference>
        </references>
      </pivotArea>
    </chartFormat>
    <chartFormat chart="53" format="7" series="1">
      <pivotArea type="data" outline="0" fieldPosition="0">
        <references count="1">
          <reference field="4294967294" count="1" selected="0">
            <x v="1"/>
          </reference>
        </references>
      </pivotArea>
    </chartFormat>
    <chartFormat chart="5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v>Значок "Создать" со сплошной заливкой</v>
  </rv>
  <rv s="0">
    <v>1</v>
    <v>5</v>
    <v>Значок "Сердце" со сплошной заливкой</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987D524-17CC-47D9-9B42-B675ED820D0B}" sourceName="Category">
  <pivotTables>
    <pivotTable tabId="4" name="Dates"/>
    <pivotTable tabId="4" name="Average condition"/>
    <pivotTable tabId="4" name="Average EV"/>
    <pivotTable tabId="4" name="Average love"/>
    <pivotTable tabId="4" name="Average PP"/>
    <pivotTable tabId="4" name="Top Manufacturers"/>
    <pivotTable tabId="4" name="Top Pokemons"/>
  </pivotTables>
  <data>
    <tabular pivotCacheId="2125798619">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5D1DA20-C6B1-41DD-936A-00D2629E66FD}" cache="Slicer_Category" caption="Category" showCaption="0"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BA7BDF-C689-4FA6-82E2-AED9B0A928FF}" name="Основная" displayName="Основная" ref="A1:Q2" totalsRowShown="0" headerRowDxfId="22" dataDxfId="21">
  <tableColumns count="17">
    <tableColumn id="1" xr3:uid="{F2E561E0-8CE2-4601-9D85-5B500E80067A}" name="№" dataDxfId="20"/>
    <tableColumn id="2" xr3:uid="{AF33B181-BC95-4984-B18F-C30BC80CD80E}" name="Photo" dataDxfId="19"/>
    <tableColumn id="3" xr3:uid="{BDD2A825-EFAF-4021-AB59-5FBC00088AE4}" name="Pokemon" dataDxfId="18"/>
    <tableColumn id="4" xr3:uid="{C131121F-E2D1-440C-8D1A-150D81EA5283}" name="Sprite" dataDxfId="17"/>
    <tableColumn id="5" xr3:uid="{C9A0332D-1210-4B48-BD3B-70975F3FA479}" name="Category" dataDxfId="16"/>
    <tableColumn id="6" xr3:uid="{34A83B38-AC1C-4F2A-904A-3FFDF03AD33C}" name="Manufacturer" dataDxfId="15"/>
    <tableColumn id="7" xr3:uid="{D8EDC339-2AB7-4A53-BE80-7803E0C3F201}" name="Collection" dataDxfId="14"/>
    <tableColumn id="8" xr3:uid="{EEC4DC45-C682-480D-B437-2E80E5FCDDD0}" name="Release Year" dataDxfId="13"/>
    <tableColumn id="9" xr3:uid="{4CC67D55-59A4-485F-83DF-A55ADC737A70}" name="Estimated Value" dataDxfId="12"/>
    <tableColumn id="10" xr3:uid="{AE391380-EB54-4150-B9F1-DE22111F32C4}" name="Purchase Price" dataDxfId="11"/>
    <tableColumn id="11" xr3:uid="{0B10983E-832E-4EA3-B323-6C2C0EBEC419}" name="Purchase Date" dataDxfId="10"/>
    <tableColumn id="12" xr3:uid="{016C1D94-764B-4326-8747-66FDA40914B8}" name="Purchased from" dataDxfId="9"/>
    <tableColumn id="13" xr3:uid="{42ABB1D5-D385-4C42-ABBD-F86D125B8DE2}" name="Tag / Box" dataDxfId="8"/>
    <tableColumn id="14" xr3:uid="{C9715C64-D040-4B77-8E79-26664E737BAC}" name="Size" dataDxfId="7"/>
    <tableColumn id="15" xr3:uid="{83E2C640-744D-48B6-8C6A-388BCCBE366C}" name="Condition" dataDxfId="6"/>
    <tableColumn id="16" xr3:uid="{CD5756F1-31DF-4771-8CA5-AB916E8BB035}" name="Love" dataDxfId="5"/>
    <tableColumn id="17" xr3:uid="{19DAFB8E-DB36-439F-9E93-A198157776E4}" name="Notes" dataDxfId="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8FFEE6-0B60-45AC-B3EA-8758315E6FCF}" name="CategoryList" displayName="CategoryList" ref="A1:A10" totalsRowShown="0" headerRowDxfId="3">
  <autoFilter ref="A1:A10" xr:uid="{C9B0C4D0-3366-4B2B-B192-279B1824708C}"/>
  <tableColumns count="1">
    <tableColumn id="1" xr3:uid="{4EA2B5DC-A72F-4B8E-A1F7-49F2E5C53997}" name="Category"/>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164669-0649-4452-92EF-5B3595E82EE5}" name="ManufacturerList" displayName="ManufacturerList" ref="B1:B15" totalsRowShown="0" headerRowDxfId="2">
  <autoFilter ref="B1:B15" xr:uid="{E2A9348E-8C80-41F3-9D34-7A7A430B8E72}"/>
  <tableColumns count="1">
    <tableColumn id="1" xr3:uid="{5FE516A1-C851-4765-B53B-886A36D6F5FD}" name="Manufacturer"/>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D23E4C-4F50-47BF-A384-F62CA69AB1BC}" name="PurchasedFromList" displayName="PurchasedFromList" ref="C1:C7" totalsRowShown="0" headerRowDxfId="1">
  <autoFilter ref="C1:C7" xr:uid="{AF47F6E0-E3A7-4E17-89C4-5BE2478E03C8}"/>
  <tableColumns count="1">
    <tableColumn id="1" xr3:uid="{69EF1092-6839-476F-89E3-8B0A80C8BCC7}" name="Purchased from"/>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860836-0B03-4A6C-8C35-B78152683B45}" name="TagList" displayName="TagList" ref="D1:D3" totalsRowShown="0" headerRowDxfId="0">
  <autoFilter ref="D1:D3" xr:uid="{9BFC12E6-CAAC-4FD0-A064-0206727A651A}"/>
  <tableColumns count="1">
    <tableColumn id="1" xr3:uid="{D98397FB-2629-4772-9B79-12DF8156CBF2}" name="Tag"/>
  </tableColumns>
  <tableStyleInfo showFirstColumn="0" showLastColumn="0" showRowStripes="1" showColumnStripes="0"/>
</table>
</file>

<file path=xl/theme/theme1.xml><?xml version="1.0" encoding="utf-8"?>
<a:theme xmlns:a="http://schemas.openxmlformats.org/drawingml/2006/main" name="Уголки">
  <a:themeElements>
    <a:clrScheme name="Уголки">
      <a:dk1>
        <a:sysClr val="windowText" lastClr="000000"/>
      </a:dk1>
      <a:lt1>
        <a:sysClr val="window" lastClr="FFFFFF"/>
      </a:lt1>
      <a:dk2>
        <a:srgbClr val="191B0E"/>
      </a:dk2>
      <a:lt2>
        <a:srgbClr val="EFEDE3"/>
      </a:lt2>
      <a:accent1>
        <a:srgbClr val="8C8D86"/>
      </a:accent1>
      <a:accent2>
        <a:srgbClr val="E6C069"/>
      </a:accent2>
      <a:accent3>
        <a:srgbClr val="897B61"/>
      </a:accent3>
      <a:accent4>
        <a:srgbClr val="8DAB8E"/>
      </a:accent4>
      <a:accent5>
        <a:srgbClr val="77A2BB"/>
      </a:accent5>
      <a:accent6>
        <a:srgbClr val="E28394"/>
      </a:accent6>
      <a:hlink>
        <a:srgbClr val="77A2BB"/>
      </a:hlink>
      <a:folHlink>
        <a:srgbClr val="957A99"/>
      </a:folHlink>
    </a:clrScheme>
    <a:fontScheme name="Уголки">
      <a:majorFont>
        <a:latin typeface="Franklin Gothic Book" panose="020B0503020102020204"/>
        <a:ea typeface=""/>
        <a:cs typeface=""/>
        <a:font script="Jpan" typeface="メイリオ"/>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Franklin Gothic Book" panose="020B0503020102020204"/>
        <a:ea typeface=""/>
        <a:cs typeface=""/>
        <a:font script="Jpan" typeface="メイリオ"/>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Уголки">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34925" cap="flat" cmpd="sng" algn="in">
          <a:solidFill>
            <a:schemeClr val="phClr"/>
          </a:solidFill>
          <a:prstDash val="solid"/>
        </a:ln>
        <a:ln w="19050" cap="flat" cmpd="sng" algn="in">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3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Crop" id="{EC9488ED-E761-4D60-9AC4-764D1FE2C171}" vid="{CE19780C-D67D-4C13-9DE9-A52BC3BA51B4}"/>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urchase_Date" xr10:uid="{0F3BBF54-3EF6-495C-93DF-9A6F58BBA72A}" sourceName="Purchase Date">
  <pivotTables>
    <pivotTable tabId="4" name="Dates"/>
    <pivotTable tabId="4" name="Average condition"/>
    <pivotTable tabId="4" name="Average EV"/>
    <pivotTable tabId="4" name="Average love"/>
    <pivotTable tabId="4" name="Average PP"/>
    <pivotTable tabId="4" name="Top Manufacturers"/>
    <pivotTable tabId="4" name="Top Pokemons"/>
  </pivotTables>
  <state minimalRefreshVersion="6" lastRefreshVersion="6" pivotCacheId="2125798619"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urchase Date" xr10:uid="{B3CA9DF2-7F29-4994-9563-1795ED69409D}" cache="NativeTimeline_Purchase_Date" caption="Purchase Date" level="2" selectionLevel="2" scrollPosition="2024-06-07T00:00:00"/>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S217"/>
  <sheetViews>
    <sheetView zoomScaleNormal="100" workbookViewId="0">
      <pane ySplit="1" topLeftCell="A2" activePane="bottomLeft" state="frozen"/>
      <selection pane="bottomLeft" activeCell="D4" sqref="D4"/>
    </sheetView>
  </sheetViews>
  <sheetFormatPr defaultColWidth="0" defaultRowHeight="15.75" zeroHeight="1" x14ac:dyDescent="0.3"/>
  <cols>
    <col min="1" max="1" width="4.33203125" style="5" customWidth="1"/>
    <col min="2" max="2" width="7.88671875" style="5" customWidth="1"/>
    <col min="3" max="3" width="10" style="5" customWidth="1"/>
    <col min="4" max="4" width="7.77734375" style="2" customWidth="1"/>
    <col min="5" max="5" width="11.109375" style="2" customWidth="1"/>
    <col min="6" max="7" width="13.88671875" style="2" customWidth="1"/>
    <col min="8" max="8" width="8.33203125" style="2" customWidth="1"/>
    <col min="9" max="10" width="11.109375" style="2" customWidth="1"/>
    <col min="11" max="11" width="10" style="7" customWidth="1"/>
    <col min="12" max="12" width="10" style="2" customWidth="1"/>
    <col min="13" max="13" width="7.77734375" style="2" customWidth="1"/>
    <col min="14" max="14" width="7.21875" style="2" customWidth="1"/>
    <col min="15" max="16" width="9.44140625" style="2" customWidth="1"/>
    <col min="17" max="17" width="47.21875" style="9" customWidth="1"/>
    <col min="18" max="19" width="0" style="1" hidden="1" customWidth="1"/>
    <col min="20" max="16384" width="7.109375" style="1" hidden="1"/>
  </cols>
  <sheetData>
    <row r="1" spans="1:17" s="4" customFormat="1" ht="30" customHeight="1" x14ac:dyDescent="0.3">
      <c r="A1" s="3" t="s">
        <v>0</v>
      </c>
      <c r="B1" s="3" t="s">
        <v>1111</v>
      </c>
      <c r="C1" s="3" t="s">
        <v>1112</v>
      </c>
      <c r="D1" s="3" t="s">
        <v>1113</v>
      </c>
      <c r="E1" s="3" t="s">
        <v>1114</v>
      </c>
      <c r="F1" s="3" t="s">
        <v>1115</v>
      </c>
      <c r="G1" s="3" t="s">
        <v>1116</v>
      </c>
      <c r="H1" s="3" t="s">
        <v>1117</v>
      </c>
      <c r="I1" s="3" t="s">
        <v>1118</v>
      </c>
      <c r="J1" s="3" t="s">
        <v>1119</v>
      </c>
      <c r="K1" s="17" t="s">
        <v>1120</v>
      </c>
      <c r="L1" s="3" t="s">
        <v>1121</v>
      </c>
      <c r="M1" s="3" t="s">
        <v>1122</v>
      </c>
      <c r="N1" s="3" t="s">
        <v>1123</v>
      </c>
      <c r="O1" s="3" t="s">
        <v>1124</v>
      </c>
      <c r="P1" s="3" t="s">
        <v>1162</v>
      </c>
      <c r="Q1" s="10" t="s">
        <v>1125</v>
      </c>
    </row>
    <row r="2" spans="1:17" ht="37.5" customHeight="1" x14ac:dyDescent="0.3">
      <c r="A2" s="2">
        <v>1</v>
      </c>
      <c r="B2" s="6"/>
      <c r="C2" s="2" t="s">
        <v>703</v>
      </c>
      <c r="E2" s="2" t="s">
        <v>1127</v>
      </c>
      <c r="F2" s="2" t="s">
        <v>1</v>
      </c>
      <c r="H2" s="2">
        <v>2020</v>
      </c>
      <c r="I2" s="6">
        <v>0</v>
      </c>
      <c r="J2" s="11">
        <v>0</v>
      </c>
      <c r="K2" s="7">
        <v>45292</v>
      </c>
      <c r="L2" s="2" t="s">
        <v>1137</v>
      </c>
      <c r="M2" s="2" t="s">
        <v>6</v>
      </c>
      <c r="N2" s="2" t="s">
        <v>1103</v>
      </c>
      <c r="O2" s="2">
        <v>10</v>
      </c>
      <c r="P2" s="2">
        <v>10</v>
      </c>
      <c r="Q2" s="8" t="s">
        <v>1126</v>
      </c>
    </row>
    <row r="3" spans="1:17" ht="39.950000000000003" customHeight="1" x14ac:dyDescent="0.3">
      <c r="C3" s="2"/>
      <c r="I3" s="6"/>
      <c r="J3" s="6"/>
    </row>
    <row r="4" spans="1:17" ht="39.950000000000003" customHeight="1" x14ac:dyDescent="0.3">
      <c r="C4" s="2"/>
      <c r="I4" s="6"/>
      <c r="J4" s="6"/>
    </row>
    <row r="5" spans="1:17" ht="39.950000000000003" customHeight="1" x14ac:dyDescent="0.3">
      <c r="C5" s="2"/>
      <c r="I5" s="6"/>
      <c r="J5" s="6"/>
    </row>
    <row r="6" spans="1:17" ht="39.950000000000003" customHeight="1" x14ac:dyDescent="0.3">
      <c r="C6" s="2"/>
      <c r="I6" s="6"/>
      <c r="J6" s="6"/>
    </row>
    <row r="7" spans="1:17" ht="39.950000000000003" customHeight="1" x14ac:dyDescent="0.3">
      <c r="C7" s="2"/>
      <c r="I7" s="6"/>
      <c r="J7" s="6"/>
    </row>
    <row r="8" spans="1:17" ht="39.950000000000003" customHeight="1" x14ac:dyDescent="0.3">
      <c r="C8" s="2"/>
      <c r="I8" s="6"/>
      <c r="J8" s="6"/>
    </row>
    <row r="9" spans="1:17" ht="39.950000000000003" customHeight="1" x14ac:dyDescent="0.3">
      <c r="C9" s="2"/>
      <c r="I9" s="6"/>
      <c r="J9" s="6"/>
    </row>
    <row r="10" spans="1:17" ht="39.950000000000003" customHeight="1" x14ac:dyDescent="0.3">
      <c r="C10" s="2"/>
      <c r="I10" s="6"/>
      <c r="J10" s="6"/>
    </row>
    <row r="11" spans="1:17" ht="39.950000000000003" customHeight="1" x14ac:dyDescent="0.3">
      <c r="C11" s="2"/>
      <c r="I11" s="6"/>
      <c r="J11" s="6"/>
    </row>
    <row r="12" spans="1:17" ht="39.950000000000003" customHeight="1" x14ac:dyDescent="0.3">
      <c r="C12" s="2"/>
      <c r="I12" s="6"/>
      <c r="J12" s="6"/>
    </row>
    <row r="13" spans="1:17" ht="39.950000000000003" customHeight="1" x14ac:dyDescent="0.3">
      <c r="C13" s="2"/>
      <c r="I13" s="6"/>
      <c r="J13" s="6"/>
    </row>
    <row r="14" spans="1:17" ht="39.950000000000003" customHeight="1" x14ac:dyDescent="0.3">
      <c r="C14" s="2"/>
      <c r="I14" s="6"/>
      <c r="J14" s="6"/>
    </row>
    <row r="15" spans="1:17" ht="39.950000000000003" customHeight="1" x14ac:dyDescent="0.3">
      <c r="C15" s="2"/>
      <c r="I15" s="6"/>
      <c r="J15" s="6"/>
    </row>
    <row r="16" spans="1:17" ht="39.950000000000003" customHeight="1" x14ac:dyDescent="0.3">
      <c r="C16" s="2"/>
      <c r="I16" s="6"/>
      <c r="J16" s="6"/>
    </row>
    <row r="17" spans="3:10" ht="39.950000000000003" customHeight="1" x14ac:dyDescent="0.3">
      <c r="C17" s="2"/>
      <c r="I17" s="6"/>
      <c r="J17" s="6"/>
    </row>
    <row r="18" spans="3:10" ht="39.950000000000003" customHeight="1" x14ac:dyDescent="0.3">
      <c r="C18" s="2"/>
      <c r="I18" s="6"/>
      <c r="J18" s="6"/>
    </row>
    <row r="19" spans="3:10" ht="39.950000000000003" customHeight="1" x14ac:dyDescent="0.3">
      <c r="C19" s="2"/>
      <c r="I19" s="6"/>
      <c r="J19" s="6"/>
    </row>
    <row r="20" spans="3:10" ht="39.950000000000003" customHeight="1" x14ac:dyDescent="0.3">
      <c r="C20" s="2"/>
      <c r="I20" s="6"/>
      <c r="J20" s="6"/>
    </row>
    <row r="21" spans="3:10" ht="39.950000000000003" customHeight="1" x14ac:dyDescent="0.3">
      <c r="C21" s="2"/>
      <c r="I21" s="6"/>
      <c r="J21" s="6"/>
    </row>
    <row r="22" spans="3:10" ht="39.950000000000003" customHeight="1" x14ac:dyDescent="0.3">
      <c r="C22" s="2"/>
      <c r="I22" s="6"/>
      <c r="J22" s="6"/>
    </row>
    <row r="23" spans="3:10" ht="39.950000000000003" customHeight="1" x14ac:dyDescent="0.3">
      <c r="C23" s="2"/>
      <c r="I23" s="6"/>
      <c r="J23" s="6"/>
    </row>
    <row r="24" spans="3:10" ht="39.950000000000003" customHeight="1" x14ac:dyDescent="0.3">
      <c r="C24" s="2"/>
      <c r="I24" s="6"/>
      <c r="J24" s="6"/>
    </row>
    <row r="25" spans="3:10" ht="39.950000000000003" customHeight="1" x14ac:dyDescent="0.3">
      <c r="C25" s="2"/>
      <c r="I25" s="6"/>
      <c r="J25" s="6"/>
    </row>
    <row r="26" spans="3:10" ht="39.950000000000003" customHeight="1" x14ac:dyDescent="0.3">
      <c r="C26" s="2"/>
      <c r="I26" s="6"/>
      <c r="J26" s="6"/>
    </row>
    <row r="27" spans="3:10" ht="39.950000000000003" customHeight="1" x14ac:dyDescent="0.3">
      <c r="C27" s="2"/>
      <c r="I27" s="6"/>
      <c r="J27" s="6"/>
    </row>
    <row r="28" spans="3:10" ht="39.950000000000003" customHeight="1" x14ac:dyDescent="0.3">
      <c r="C28" s="2"/>
      <c r="I28" s="6"/>
      <c r="J28" s="6"/>
    </row>
    <row r="29" spans="3:10" ht="39.950000000000003" customHeight="1" x14ac:dyDescent="0.3">
      <c r="C29" s="2"/>
      <c r="I29" s="6"/>
      <c r="J29" s="6"/>
    </row>
    <row r="30" spans="3:10" ht="39.950000000000003" customHeight="1" x14ac:dyDescent="0.3">
      <c r="C30" s="2"/>
      <c r="I30" s="6"/>
      <c r="J30" s="6"/>
    </row>
    <row r="31" spans="3:10" ht="39.950000000000003" customHeight="1" x14ac:dyDescent="0.3">
      <c r="C31" s="2"/>
      <c r="I31" s="6"/>
      <c r="J31" s="6"/>
    </row>
    <row r="32" spans="3:10" ht="39.950000000000003" customHeight="1" x14ac:dyDescent="0.3">
      <c r="C32" s="2"/>
      <c r="I32" s="6"/>
      <c r="J32" s="6"/>
    </row>
    <row r="33" spans="3:10" ht="39.950000000000003" customHeight="1" x14ac:dyDescent="0.3">
      <c r="C33" s="2"/>
      <c r="I33" s="6"/>
      <c r="J33" s="6"/>
    </row>
    <row r="34" spans="3:10" ht="39.950000000000003" customHeight="1" x14ac:dyDescent="0.3">
      <c r="C34" s="2"/>
      <c r="I34" s="6"/>
      <c r="J34" s="6"/>
    </row>
    <row r="35" spans="3:10" ht="39.950000000000003" customHeight="1" x14ac:dyDescent="0.3">
      <c r="C35" s="2"/>
      <c r="I35" s="6"/>
      <c r="J35" s="6"/>
    </row>
    <row r="36" spans="3:10" ht="39.950000000000003" customHeight="1" x14ac:dyDescent="0.3">
      <c r="C36" s="2"/>
      <c r="I36" s="6"/>
      <c r="J36" s="6"/>
    </row>
    <row r="37" spans="3:10" ht="39.950000000000003" customHeight="1" x14ac:dyDescent="0.3">
      <c r="C37" s="2"/>
      <c r="I37" s="6"/>
      <c r="J37" s="6"/>
    </row>
    <row r="38" spans="3:10" ht="39.950000000000003" customHeight="1" x14ac:dyDescent="0.3">
      <c r="C38" s="2"/>
      <c r="I38" s="6"/>
      <c r="J38" s="6"/>
    </row>
    <row r="39" spans="3:10" ht="39.950000000000003" customHeight="1" x14ac:dyDescent="0.3">
      <c r="C39" s="2"/>
      <c r="I39" s="6"/>
      <c r="J39" s="6"/>
    </row>
    <row r="40" spans="3:10" ht="39.950000000000003" customHeight="1" x14ac:dyDescent="0.3">
      <c r="C40" s="2"/>
      <c r="I40" s="6"/>
      <c r="J40" s="6"/>
    </row>
    <row r="41" spans="3:10" ht="39.950000000000003" customHeight="1" x14ac:dyDescent="0.3">
      <c r="C41" s="2"/>
      <c r="I41" s="6"/>
      <c r="J41" s="6"/>
    </row>
    <row r="42" spans="3:10" ht="39.950000000000003" customHeight="1" x14ac:dyDescent="0.3">
      <c r="C42" s="2"/>
      <c r="I42" s="6"/>
      <c r="J42" s="6"/>
    </row>
    <row r="43" spans="3:10" ht="39.950000000000003" customHeight="1" x14ac:dyDescent="0.3">
      <c r="C43" s="2"/>
      <c r="I43" s="6"/>
      <c r="J43" s="6"/>
    </row>
    <row r="44" spans="3:10" ht="39.950000000000003" customHeight="1" x14ac:dyDescent="0.3">
      <c r="C44" s="2"/>
      <c r="I44" s="6"/>
      <c r="J44" s="6"/>
    </row>
    <row r="45" spans="3:10" ht="39.950000000000003" customHeight="1" x14ac:dyDescent="0.3">
      <c r="C45" s="2"/>
      <c r="I45" s="6"/>
      <c r="J45" s="6"/>
    </row>
    <row r="46" spans="3:10" ht="39.950000000000003" customHeight="1" x14ac:dyDescent="0.3">
      <c r="C46" s="2"/>
      <c r="I46" s="6"/>
      <c r="J46" s="6"/>
    </row>
    <row r="47" spans="3:10" ht="39.950000000000003" customHeight="1" x14ac:dyDescent="0.3">
      <c r="C47" s="2"/>
      <c r="I47" s="6"/>
      <c r="J47" s="6"/>
    </row>
    <row r="48" spans="3:10" ht="39.950000000000003" customHeight="1" x14ac:dyDescent="0.3">
      <c r="C48" s="2"/>
      <c r="I48" s="6"/>
      <c r="J48" s="6"/>
    </row>
    <row r="49" spans="3:10" ht="39.950000000000003" customHeight="1" x14ac:dyDescent="0.3">
      <c r="C49" s="2"/>
      <c r="I49" s="6"/>
      <c r="J49" s="6"/>
    </row>
    <row r="50" spans="3:10" ht="39.950000000000003" customHeight="1" x14ac:dyDescent="0.3">
      <c r="C50" s="2"/>
      <c r="I50" s="6"/>
      <c r="J50" s="6"/>
    </row>
    <row r="51" spans="3:10" ht="39.950000000000003" customHeight="1" x14ac:dyDescent="0.3">
      <c r="C51" s="2"/>
      <c r="I51" s="6"/>
      <c r="J51" s="6"/>
    </row>
    <row r="52" spans="3:10" ht="39.950000000000003" customHeight="1" x14ac:dyDescent="0.3">
      <c r="C52" s="2"/>
      <c r="I52" s="6"/>
      <c r="J52" s="6"/>
    </row>
    <row r="53" spans="3:10" ht="39.950000000000003" customHeight="1" x14ac:dyDescent="0.3">
      <c r="C53" s="2"/>
      <c r="I53" s="6"/>
      <c r="J53" s="6"/>
    </row>
    <row r="54" spans="3:10" ht="39.950000000000003" customHeight="1" x14ac:dyDescent="0.3">
      <c r="C54" s="2"/>
      <c r="I54" s="6"/>
      <c r="J54" s="6"/>
    </row>
    <row r="55" spans="3:10" ht="39.950000000000003" customHeight="1" x14ac:dyDescent="0.3">
      <c r="C55" s="2"/>
      <c r="I55" s="6"/>
      <c r="J55" s="6"/>
    </row>
    <row r="56" spans="3:10" ht="39.950000000000003" customHeight="1" x14ac:dyDescent="0.3">
      <c r="C56" s="2"/>
      <c r="I56" s="6"/>
      <c r="J56" s="6"/>
    </row>
    <row r="57" spans="3:10" ht="39.950000000000003" customHeight="1" x14ac:dyDescent="0.3">
      <c r="C57" s="2"/>
      <c r="I57" s="6"/>
      <c r="J57" s="6"/>
    </row>
    <row r="58" spans="3:10" ht="39.950000000000003" customHeight="1" x14ac:dyDescent="0.3">
      <c r="C58" s="2"/>
      <c r="I58" s="6"/>
      <c r="J58" s="6"/>
    </row>
    <row r="59" spans="3:10" ht="39.950000000000003" customHeight="1" x14ac:dyDescent="0.3">
      <c r="C59" s="2"/>
      <c r="I59" s="6"/>
      <c r="J59" s="6"/>
    </row>
    <row r="60" spans="3:10" ht="39.950000000000003" customHeight="1" x14ac:dyDescent="0.3">
      <c r="C60" s="2"/>
      <c r="I60" s="6"/>
      <c r="J60" s="6"/>
    </row>
    <row r="61" spans="3:10" ht="39.950000000000003" customHeight="1" x14ac:dyDescent="0.3">
      <c r="C61" s="2"/>
      <c r="I61" s="6"/>
      <c r="J61" s="6"/>
    </row>
    <row r="62" spans="3:10" ht="39.950000000000003" customHeight="1" x14ac:dyDescent="0.3">
      <c r="C62" s="2"/>
      <c r="I62" s="6"/>
      <c r="J62" s="6"/>
    </row>
    <row r="63" spans="3:10" ht="39.950000000000003" customHeight="1" x14ac:dyDescent="0.3">
      <c r="C63" s="2"/>
      <c r="I63" s="6"/>
      <c r="J63" s="6"/>
    </row>
    <row r="64" spans="3:10" ht="39.950000000000003" customHeight="1" x14ac:dyDescent="0.3">
      <c r="C64" s="2"/>
      <c r="I64" s="6"/>
      <c r="J64" s="6"/>
    </row>
    <row r="65" spans="3:10" ht="39.950000000000003" customHeight="1" x14ac:dyDescent="0.3">
      <c r="C65" s="2"/>
      <c r="I65" s="6"/>
      <c r="J65" s="6"/>
    </row>
    <row r="66" spans="3:10" ht="39.950000000000003" customHeight="1" x14ac:dyDescent="0.3">
      <c r="C66" s="2"/>
      <c r="I66" s="6"/>
      <c r="J66" s="6"/>
    </row>
    <row r="67" spans="3:10" ht="39.950000000000003" customHeight="1" x14ac:dyDescent="0.3">
      <c r="C67" s="2"/>
      <c r="I67" s="6"/>
      <c r="J67" s="6"/>
    </row>
    <row r="68" spans="3:10" ht="39.950000000000003" customHeight="1" x14ac:dyDescent="0.3">
      <c r="C68" s="2"/>
      <c r="I68" s="6"/>
      <c r="J68" s="6"/>
    </row>
    <row r="69" spans="3:10" ht="39.950000000000003" customHeight="1" x14ac:dyDescent="0.3">
      <c r="C69" s="2"/>
      <c r="I69" s="6"/>
      <c r="J69" s="6"/>
    </row>
    <row r="70" spans="3:10" ht="39.950000000000003" customHeight="1" x14ac:dyDescent="0.3">
      <c r="C70" s="2"/>
      <c r="I70" s="6"/>
      <c r="J70" s="6"/>
    </row>
    <row r="71" spans="3:10" ht="39.950000000000003" customHeight="1" x14ac:dyDescent="0.3">
      <c r="C71" s="2"/>
      <c r="I71" s="6"/>
      <c r="J71" s="6"/>
    </row>
    <row r="72" spans="3:10" ht="39.950000000000003" customHeight="1" x14ac:dyDescent="0.3">
      <c r="C72" s="2"/>
      <c r="I72" s="6"/>
      <c r="J72" s="6"/>
    </row>
    <row r="73" spans="3:10" ht="39.950000000000003" customHeight="1" x14ac:dyDescent="0.3">
      <c r="C73" s="2"/>
      <c r="I73" s="6"/>
      <c r="J73" s="6"/>
    </row>
    <row r="74" spans="3:10" ht="39.950000000000003" customHeight="1" x14ac:dyDescent="0.3">
      <c r="C74" s="2"/>
      <c r="I74" s="6"/>
      <c r="J74" s="6"/>
    </row>
    <row r="75" spans="3:10" ht="39.950000000000003" customHeight="1" x14ac:dyDescent="0.3">
      <c r="C75" s="2"/>
      <c r="I75" s="6"/>
      <c r="J75" s="6"/>
    </row>
    <row r="76" spans="3:10" ht="39.950000000000003" customHeight="1" x14ac:dyDescent="0.3">
      <c r="C76" s="2"/>
      <c r="I76" s="6"/>
      <c r="J76" s="6"/>
    </row>
    <row r="77" spans="3:10" ht="39.950000000000003" customHeight="1" x14ac:dyDescent="0.3">
      <c r="C77" s="2"/>
      <c r="I77" s="6"/>
      <c r="J77" s="6"/>
    </row>
    <row r="78" spans="3:10" ht="39.950000000000003" customHeight="1" x14ac:dyDescent="0.3">
      <c r="C78" s="2"/>
      <c r="I78" s="6"/>
      <c r="J78" s="6"/>
    </row>
    <row r="79" spans="3:10" ht="39.950000000000003" customHeight="1" x14ac:dyDescent="0.3">
      <c r="C79" s="2"/>
      <c r="I79" s="6"/>
      <c r="J79" s="6"/>
    </row>
    <row r="80" spans="3:10" ht="39.950000000000003" customHeight="1" x14ac:dyDescent="0.3">
      <c r="C80" s="2"/>
      <c r="I80" s="6"/>
      <c r="J80" s="6"/>
    </row>
    <row r="81" spans="3:10" ht="39.950000000000003" customHeight="1" x14ac:dyDescent="0.3">
      <c r="C81" s="2"/>
      <c r="I81" s="6"/>
      <c r="J81" s="6"/>
    </row>
    <row r="82" spans="3:10" ht="39.950000000000003" customHeight="1" x14ac:dyDescent="0.3">
      <c r="C82" s="2"/>
      <c r="I82" s="6"/>
      <c r="J82" s="6"/>
    </row>
    <row r="83" spans="3:10" ht="39.950000000000003" customHeight="1" x14ac:dyDescent="0.3">
      <c r="C83" s="2"/>
      <c r="I83" s="6"/>
      <c r="J83" s="6"/>
    </row>
    <row r="84" spans="3:10" ht="39.950000000000003" customHeight="1" x14ac:dyDescent="0.3">
      <c r="C84" s="2"/>
      <c r="I84" s="6"/>
      <c r="J84" s="6"/>
    </row>
    <row r="85" spans="3:10" ht="39.950000000000003" customHeight="1" x14ac:dyDescent="0.3">
      <c r="C85" s="2"/>
      <c r="I85" s="6"/>
      <c r="J85" s="6"/>
    </row>
    <row r="86" spans="3:10" ht="39.950000000000003" customHeight="1" x14ac:dyDescent="0.3">
      <c r="C86" s="2"/>
      <c r="I86" s="6"/>
      <c r="J86" s="6"/>
    </row>
    <row r="87" spans="3:10" ht="39.950000000000003" customHeight="1" x14ac:dyDescent="0.3">
      <c r="C87" s="2"/>
      <c r="I87" s="6"/>
      <c r="J87" s="6"/>
    </row>
    <row r="88" spans="3:10" ht="39.950000000000003" customHeight="1" x14ac:dyDescent="0.3">
      <c r="C88" s="2"/>
      <c r="I88" s="6"/>
      <c r="J88" s="6"/>
    </row>
    <row r="89" spans="3:10" ht="39.950000000000003" customHeight="1" x14ac:dyDescent="0.3">
      <c r="C89" s="2"/>
      <c r="I89" s="6"/>
      <c r="J89" s="6"/>
    </row>
    <row r="90" spans="3:10" ht="39.950000000000003" customHeight="1" x14ac:dyDescent="0.3">
      <c r="C90" s="2"/>
      <c r="I90" s="6"/>
      <c r="J90" s="6"/>
    </row>
    <row r="91" spans="3:10" ht="39.950000000000003" customHeight="1" x14ac:dyDescent="0.3">
      <c r="C91" s="2"/>
      <c r="I91" s="6"/>
      <c r="J91" s="6"/>
    </row>
    <row r="92" spans="3:10" ht="39.950000000000003" customHeight="1" x14ac:dyDescent="0.3">
      <c r="C92" s="2"/>
      <c r="I92" s="6"/>
      <c r="J92" s="6"/>
    </row>
    <row r="93" spans="3:10" ht="39.950000000000003" customHeight="1" x14ac:dyDescent="0.3">
      <c r="C93" s="2"/>
      <c r="I93" s="6"/>
      <c r="J93" s="6"/>
    </row>
    <row r="94" spans="3:10" ht="39.950000000000003" customHeight="1" x14ac:dyDescent="0.3">
      <c r="C94" s="2"/>
      <c r="I94" s="6"/>
      <c r="J94" s="6"/>
    </row>
    <row r="95" spans="3:10" ht="39.950000000000003" customHeight="1" x14ac:dyDescent="0.3">
      <c r="C95" s="2"/>
      <c r="I95" s="6"/>
      <c r="J95" s="6"/>
    </row>
    <row r="96" spans="3:10" ht="39.950000000000003" customHeight="1" x14ac:dyDescent="0.3">
      <c r="C96" s="2"/>
      <c r="I96" s="6"/>
      <c r="J96" s="6"/>
    </row>
    <row r="97" spans="3:10" ht="39.950000000000003" customHeight="1" x14ac:dyDescent="0.3">
      <c r="C97" s="2"/>
      <c r="I97" s="6"/>
      <c r="J97" s="6"/>
    </row>
    <row r="98" spans="3:10" ht="39.950000000000003" customHeight="1" x14ac:dyDescent="0.3">
      <c r="C98" s="2"/>
      <c r="I98" s="6"/>
      <c r="J98" s="6"/>
    </row>
    <row r="99" spans="3:10" ht="39.950000000000003" customHeight="1" x14ac:dyDescent="0.3">
      <c r="C99" s="2"/>
      <c r="I99" s="6"/>
      <c r="J99" s="6"/>
    </row>
    <row r="100" spans="3:10" ht="39.950000000000003" customHeight="1" x14ac:dyDescent="0.3">
      <c r="C100" s="2"/>
      <c r="I100" s="6"/>
      <c r="J100" s="6"/>
    </row>
    <row r="101" spans="3:10" ht="39.950000000000003" customHeight="1" x14ac:dyDescent="0.3">
      <c r="C101" s="2"/>
      <c r="I101" s="6"/>
      <c r="J101" s="6"/>
    </row>
    <row r="102" spans="3:10" ht="39.950000000000003" customHeight="1" x14ac:dyDescent="0.3">
      <c r="C102" s="2"/>
      <c r="I102" s="6"/>
      <c r="J102" s="6"/>
    </row>
    <row r="103" spans="3:10" ht="39.950000000000003" customHeight="1" x14ac:dyDescent="0.3">
      <c r="C103" s="2"/>
      <c r="I103" s="6"/>
      <c r="J103" s="6"/>
    </row>
    <row r="104" spans="3:10" ht="39.950000000000003" customHeight="1" x14ac:dyDescent="0.3">
      <c r="C104" s="2"/>
      <c r="I104" s="6"/>
      <c r="J104" s="6"/>
    </row>
    <row r="105" spans="3:10" ht="39.950000000000003" customHeight="1" x14ac:dyDescent="0.3">
      <c r="C105" s="2"/>
      <c r="I105" s="6"/>
      <c r="J105" s="6"/>
    </row>
    <row r="106" spans="3:10" ht="39.950000000000003" customHeight="1" x14ac:dyDescent="0.3">
      <c r="C106" s="2"/>
      <c r="I106" s="6"/>
      <c r="J106" s="6"/>
    </row>
    <row r="107" spans="3:10" ht="39.950000000000003" customHeight="1" x14ac:dyDescent="0.3">
      <c r="C107" s="2"/>
      <c r="I107" s="6"/>
      <c r="J107" s="6"/>
    </row>
    <row r="108" spans="3:10" ht="39.950000000000003" customHeight="1" x14ac:dyDescent="0.3">
      <c r="C108" s="2"/>
      <c r="I108" s="6"/>
      <c r="J108" s="6"/>
    </row>
    <row r="109" spans="3:10" ht="39.950000000000003" customHeight="1" x14ac:dyDescent="0.3">
      <c r="C109" s="2"/>
      <c r="I109" s="6"/>
      <c r="J109" s="6"/>
    </row>
    <row r="110" spans="3:10" ht="39.950000000000003" customHeight="1" x14ac:dyDescent="0.3">
      <c r="C110" s="2"/>
      <c r="I110" s="6"/>
      <c r="J110" s="6"/>
    </row>
    <row r="111" spans="3:10" ht="39.950000000000003" customHeight="1" x14ac:dyDescent="0.3">
      <c r="C111" s="2"/>
      <c r="I111" s="6"/>
      <c r="J111" s="6"/>
    </row>
    <row r="112" spans="3:10" ht="39.950000000000003" customHeight="1" x14ac:dyDescent="0.3">
      <c r="C112" s="2"/>
      <c r="I112" s="6"/>
      <c r="J112" s="6"/>
    </row>
    <row r="113" spans="3:10" ht="39.950000000000003" customHeight="1" x14ac:dyDescent="0.3">
      <c r="C113" s="2"/>
      <c r="I113" s="6"/>
      <c r="J113" s="6"/>
    </row>
    <row r="114" spans="3:10" ht="39.950000000000003" customHeight="1" x14ac:dyDescent="0.3">
      <c r="C114" s="2"/>
      <c r="I114" s="6"/>
      <c r="J114" s="6"/>
    </row>
    <row r="115" spans="3:10" ht="39.950000000000003" customHeight="1" x14ac:dyDescent="0.3">
      <c r="C115" s="2"/>
      <c r="I115" s="6"/>
      <c r="J115" s="6"/>
    </row>
    <row r="116" spans="3:10" ht="39.950000000000003" customHeight="1" x14ac:dyDescent="0.3">
      <c r="C116" s="2"/>
      <c r="I116" s="6"/>
      <c r="J116" s="6"/>
    </row>
    <row r="117" spans="3:10" ht="39.950000000000003" customHeight="1" x14ac:dyDescent="0.3">
      <c r="C117" s="2"/>
      <c r="I117" s="6"/>
      <c r="J117" s="6"/>
    </row>
    <row r="118" spans="3:10" ht="39.950000000000003" customHeight="1" x14ac:dyDescent="0.3">
      <c r="C118" s="2"/>
      <c r="I118" s="6"/>
      <c r="J118" s="6"/>
    </row>
    <row r="119" spans="3:10" ht="39.950000000000003" customHeight="1" x14ac:dyDescent="0.3">
      <c r="C119" s="2"/>
      <c r="I119" s="6"/>
      <c r="J119" s="6"/>
    </row>
    <row r="120" spans="3:10" ht="39.950000000000003" customHeight="1" x14ac:dyDescent="0.3">
      <c r="C120" s="2"/>
      <c r="I120" s="6"/>
      <c r="J120" s="6"/>
    </row>
    <row r="121" spans="3:10" ht="39.950000000000003" customHeight="1" x14ac:dyDescent="0.3">
      <c r="C121" s="2"/>
      <c r="I121" s="6"/>
      <c r="J121" s="6"/>
    </row>
    <row r="122" spans="3:10" ht="39.950000000000003" customHeight="1" x14ac:dyDescent="0.3">
      <c r="C122" s="2"/>
      <c r="I122" s="6"/>
      <c r="J122" s="6"/>
    </row>
    <row r="123" spans="3:10" ht="39.950000000000003" customHeight="1" x14ac:dyDescent="0.3">
      <c r="C123" s="2"/>
      <c r="I123" s="6"/>
      <c r="J123" s="6"/>
    </row>
    <row r="124" spans="3:10" ht="39.950000000000003" customHeight="1" x14ac:dyDescent="0.3">
      <c r="C124" s="2"/>
      <c r="I124" s="6"/>
      <c r="J124" s="6"/>
    </row>
    <row r="125" spans="3:10" ht="39.950000000000003" customHeight="1" x14ac:dyDescent="0.3">
      <c r="C125" s="2"/>
      <c r="I125" s="6"/>
      <c r="J125" s="6"/>
    </row>
    <row r="126" spans="3:10" ht="39.950000000000003" customHeight="1" x14ac:dyDescent="0.3">
      <c r="C126" s="2"/>
      <c r="I126" s="6"/>
      <c r="J126" s="6"/>
    </row>
    <row r="127" spans="3:10" ht="39.950000000000003" customHeight="1" x14ac:dyDescent="0.3">
      <c r="C127" s="2"/>
      <c r="I127" s="6"/>
      <c r="J127" s="6"/>
    </row>
    <row r="128" spans="3:10" ht="39.950000000000003" customHeight="1" x14ac:dyDescent="0.3">
      <c r="C128" s="2"/>
      <c r="I128" s="6"/>
      <c r="J128" s="6"/>
    </row>
    <row r="129" spans="3:10" ht="39.950000000000003" customHeight="1" x14ac:dyDescent="0.3">
      <c r="C129" s="2"/>
      <c r="I129" s="6"/>
      <c r="J129" s="6"/>
    </row>
    <row r="130" spans="3:10" ht="39.950000000000003" customHeight="1" x14ac:dyDescent="0.3">
      <c r="C130" s="2"/>
      <c r="I130" s="6"/>
      <c r="J130" s="6"/>
    </row>
    <row r="131" spans="3:10" ht="39.950000000000003" customHeight="1" x14ac:dyDescent="0.3">
      <c r="C131" s="2"/>
      <c r="I131" s="6"/>
      <c r="J131" s="6"/>
    </row>
    <row r="132" spans="3:10" ht="39.950000000000003" customHeight="1" x14ac:dyDescent="0.3">
      <c r="C132" s="2"/>
      <c r="I132" s="6"/>
      <c r="J132" s="6"/>
    </row>
    <row r="133" spans="3:10" ht="39.950000000000003" customHeight="1" x14ac:dyDescent="0.3">
      <c r="C133" s="2"/>
      <c r="I133" s="6"/>
      <c r="J133" s="6"/>
    </row>
    <row r="134" spans="3:10" ht="39.950000000000003" hidden="1" customHeight="1" x14ac:dyDescent="0.3">
      <c r="C134" s="2"/>
      <c r="I134" s="6"/>
      <c r="J134" s="6"/>
    </row>
    <row r="135" spans="3:10" ht="39.950000000000003" hidden="1" customHeight="1" x14ac:dyDescent="0.3">
      <c r="C135" s="2"/>
      <c r="I135" s="6"/>
      <c r="J135" s="6"/>
    </row>
    <row r="136" spans="3:10" ht="39.75" hidden="1" customHeight="1" x14ac:dyDescent="0.3">
      <c r="C136" s="2"/>
      <c r="I136" s="6"/>
      <c r="J136" s="6"/>
    </row>
    <row r="137" spans="3:10" ht="39.950000000000003" hidden="1" customHeight="1" x14ac:dyDescent="0.3"/>
    <row r="138" spans="3:10" ht="39.950000000000003" hidden="1" customHeight="1" x14ac:dyDescent="0.3"/>
    <row r="139" spans="3:10" ht="39.950000000000003" hidden="1" customHeight="1" x14ac:dyDescent="0.3"/>
    <row r="140" spans="3:10" ht="39.950000000000003" hidden="1" customHeight="1" x14ac:dyDescent="0.3"/>
    <row r="141" spans="3:10" ht="39.950000000000003" hidden="1" customHeight="1" x14ac:dyDescent="0.3"/>
    <row r="142" spans="3:10" ht="39.950000000000003" hidden="1" customHeight="1" x14ac:dyDescent="0.3"/>
    <row r="143" spans="3:10" ht="39.950000000000003" hidden="1" customHeight="1" x14ac:dyDescent="0.3"/>
    <row r="144" spans="3:10" ht="39.950000000000003" hidden="1" customHeight="1" x14ac:dyDescent="0.3"/>
    <row r="145" ht="39.950000000000003" hidden="1" customHeight="1" x14ac:dyDescent="0.3"/>
    <row r="146" ht="39.950000000000003" hidden="1" customHeight="1" x14ac:dyDescent="0.3"/>
    <row r="147" ht="39.950000000000003" hidden="1" customHeight="1" x14ac:dyDescent="0.3"/>
    <row r="148" ht="39.950000000000003" hidden="1" customHeight="1" x14ac:dyDescent="0.3"/>
    <row r="149" ht="39.950000000000003" hidden="1" customHeight="1" x14ac:dyDescent="0.3"/>
    <row r="150" ht="39.950000000000003" hidden="1" customHeight="1" x14ac:dyDescent="0.3"/>
    <row r="151" ht="39.950000000000003" hidden="1" customHeight="1" x14ac:dyDescent="0.3"/>
    <row r="152" ht="39.950000000000003" hidden="1" customHeight="1" x14ac:dyDescent="0.3"/>
    <row r="153" ht="39.950000000000003" hidden="1" customHeight="1" x14ac:dyDescent="0.3"/>
    <row r="154" ht="39.950000000000003" hidden="1" customHeight="1" x14ac:dyDescent="0.3"/>
    <row r="155" ht="39.950000000000003" hidden="1" customHeight="1" x14ac:dyDescent="0.3"/>
    <row r="156" ht="39.950000000000003" hidden="1" customHeight="1" x14ac:dyDescent="0.3"/>
    <row r="157" ht="39.950000000000003" hidden="1" customHeight="1" x14ac:dyDescent="0.3"/>
    <row r="158" ht="39.950000000000003" hidden="1" customHeight="1" x14ac:dyDescent="0.3"/>
    <row r="159" ht="39.950000000000003" hidden="1" customHeight="1" x14ac:dyDescent="0.3"/>
    <row r="160" ht="39.950000000000003" hidden="1" customHeight="1" x14ac:dyDescent="0.3"/>
    <row r="161" ht="39.950000000000003" hidden="1" customHeight="1" x14ac:dyDescent="0.3"/>
    <row r="162" ht="39.950000000000003" hidden="1" customHeight="1" x14ac:dyDescent="0.3"/>
    <row r="163" ht="39.950000000000003" hidden="1" customHeight="1" x14ac:dyDescent="0.3"/>
    <row r="164" ht="39.950000000000003" hidden="1" customHeight="1" x14ac:dyDescent="0.3"/>
    <row r="165" ht="39.950000000000003" hidden="1" customHeight="1" x14ac:dyDescent="0.3"/>
    <row r="166" ht="39.950000000000003" hidden="1" customHeight="1" x14ac:dyDescent="0.3"/>
    <row r="167" ht="39.950000000000003" hidden="1" customHeight="1" x14ac:dyDescent="0.3"/>
    <row r="168" ht="39.950000000000003" hidden="1" customHeight="1" x14ac:dyDescent="0.3"/>
    <row r="169" ht="39.950000000000003" hidden="1" customHeight="1" x14ac:dyDescent="0.3"/>
    <row r="170" ht="39.950000000000003" hidden="1" customHeight="1" x14ac:dyDescent="0.3"/>
    <row r="171" ht="39.950000000000003" hidden="1" customHeight="1" x14ac:dyDescent="0.3"/>
    <row r="172" ht="39.950000000000003" hidden="1" customHeight="1" x14ac:dyDescent="0.3"/>
    <row r="173" ht="39.950000000000003" hidden="1" customHeight="1" x14ac:dyDescent="0.3"/>
    <row r="174" ht="39.950000000000003" hidden="1" customHeight="1" x14ac:dyDescent="0.3"/>
    <row r="175" ht="39.950000000000003" hidden="1" customHeight="1" x14ac:dyDescent="0.3"/>
    <row r="176" ht="39.950000000000003" hidden="1" customHeight="1" x14ac:dyDescent="0.3"/>
    <row r="177" ht="39.950000000000003" hidden="1" customHeight="1" x14ac:dyDescent="0.3"/>
    <row r="178" ht="39.950000000000003" hidden="1" customHeight="1" x14ac:dyDescent="0.3"/>
    <row r="179" ht="39.950000000000003" hidden="1" customHeight="1" x14ac:dyDescent="0.3"/>
    <row r="180" ht="39.950000000000003" hidden="1" customHeight="1" x14ac:dyDescent="0.3"/>
    <row r="181" ht="39.950000000000003" hidden="1" customHeight="1" x14ac:dyDescent="0.3"/>
    <row r="182" ht="39.950000000000003" hidden="1" customHeight="1" x14ac:dyDescent="0.3"/>
    <row r="183" ht="39.950000000000003" hidden="1" customHeight="1" x14ac:dyDescent="0.3"/>
    <row r="184" ht="39.950000000000003" hidden="1" customHeight="1" x14ac:dyDescent="0.3"/>
    <row r="185" ht="39.950000000000003" hidden="1" customHeight="1" x14ac:dyDescent="0.3"/>
    <row r="186" ht="39.950000000000003" hidden="1" customHeight="1" x14ac:dyDescent="0.3"/>
    <row r="187" ht="39.950000000000003" hidden="1" customHeight="1" x14ac:dyDescent="0.3"/>
    <row r="188" ht="39.950000000000003" hidden="1" customHeight="1" x14ac:dyDescent="0.3"/>
    <row r="189" ht="39.950000000000003" hidden="1" customHeight="1" x14ac:dyDescent="0.3"/>
    <row r="190" ht="39.950000000000003" hidden="1" customHeight="1" x14ac:dyDescent="0.3"/>
    <row r="191" ht="39.950000000000003" hidden="1" customHeight="1" x14ac:dyDescent="0.3"/>
    <row r="192" ht="39.950000000000003" hidden="1" customHeight="1" x14ac:dyDescent="0.3"/>
    <row r="193" ht="39.950000000000003" hidden="1" customHeight="1" x14ac:dyDescent="0.3"/>
    <row r="194" ht="39.950000000000003" hidden="1" customHeight="1" x14ac:dyDescent="0.3"/>
    <row r="195" ht="39.950000000000003" hidden="1" customHeight="1" x14ac:dyDescent="0.3"/>
    <row r="196" ht="39.950000000000003" hidden="1" customHeight="1" x14ac:dyDescent="0.3"/>
    <row r="197" ht="39.950000000000003" hidden="1" customHeight="1" x14ac:dyDescent="0.3"/>
    <row r="198" ht="39.950000000000003" hidden="1" customHeight="1" x14ac:dyDescent="0.3"/>
    <row r="199" ht="39.950000000000003" hidden="1" customHeight="1" x14ac:dyDescent="0.3"/>
    <row r="200" ht="39.950000000000003" hidden="1" customHeight="1" x14ac:dyDescent="0.3"/>
    <row r="201" ht="39.950000000000003" hidden="1" customHeight="1" x14ac:dyDescent="0.3"/>
    <row r="202" ht="39.950000000000003" hidden="1" customHeight="1" x14ac:dyDescent="0.3"/>
    <row r="203" ht="39.950000000000003" hidden="1" customHeight="1" x14ac:dyDescent="0.3"/>
    <row r="204" ht="39.950000000000003" hidden="1" customHeight="1" x14ac:dyDescent="0.3"/>
    <row r="205" ht="39.950000000000003" hidden="1" customHeight="1" x14ac:dyDescent="0.3"/>
    <row r="206" ht="39.950000000000003" hidden="1" customHeight="1" x14ac:dyDescent="0.3"/>
    <row r="207" ht="39.950000000000003" hidden="1" customHeight="1" x14ac:dyDescent="0.3"/>
    <row r="208" ht="39.950000000000003" hidden="1" customHeight="1" x14ac:dyDescent="0.3"/>
    <row r="209" ht="39.950000000000003" hidden="1" customHeight="1" x14ac:dyDescent="0.3"/>
    <row r="210" ht="39.950000000000003" hidden="1" customHeight="1" x14ac:dyDescent="0.3"/>
    <row r="211" ht="39.950000000000003" hidden="1" customHeight="1" x14ac:dyDescent="0.3"/>
    <row r="212" ht="39.950000000000003" hidden="1" customHeight="1" x14ac:dyDescent="0.3"/>
    <row r="213" ht="39.950000000000003" hidden="1" customHeight="1" x14ac:dyDescent="0.3"/>
    <row r="214" ht="39.950000000000003" hidden="1" customHeight="1" x14ac:dyDescent="0.3"/>
    <row r="215" ht="39.950000000000003" hidden="1" customHeight="1" x14ac:dyDescent="0.3"/>
    <row r="216" ht="39.950000000000003" hidden="1" customHeight="1" x14ac:dyDescent="0.3"/>
    <row r="217" ht="39.950000000000003" hidden="1" customHeight="1" x14ac:dyDescent="0.3"/>
  </sheetData>
  <dataValidations count="6">
    <dataValidation type="list" allowBlank="1" showInputMessage="1" showErrorMessage="1" sqref="C2:C279" xr:uid="{D3B55F0C-92E3-4B5B-B148-3103C65C7048}">
      <formula1>Покемоны</formula1>
    </dataValidation>
    <dataValidation type="list" allowBlank="1" showInputMessage="1" showErrorMessage="1" sqref="E3:E281 E2" xr:uid="{1BD66E26-1D0D-46ED-9F13-5D5117FC318D}">
      <formula1>INDIRECT("CategoryList[Category]")</formula1>
    </dataValidation>
    <dataValidation type="list" allowBlank="1" showInputMessage="1" showErrorMessage="1" sqref="F2:F281" xr:uid="{80708B37-760B-41FE-8047-B95C6A7C7B65}">
      <formula1>INDIRECT("ManufacturerList[Manufacturer]")</formula1>
    </dataValidation>
    <dataValidation type="list" allowBlank="1" showInputMessage="1" showErrorMessage="1" sqref="L134:L281" xr:uid="{9B035D79-E1B1-4206-AD81-0F8FB8B6A170}">
      <formula1>INDIRECT("ГдеКупленСписок[Где Куплен]")</formula1>
    </dataValidation>
    <dataValidation type="list" allowBlank="1" showInputMessage="1" showErrorMessage="1" sqref="M2:M281" xr:uid="{62CA2DD7-2483-454E-918D-E70C92B48609}">
      <formula1>INDIRECT("TagList[Tag]")</formula1>
    </dataValidation>
    <dataValidation type="list" allowBlank="1" showInputMessage="1" showErrorMessage="1" sqref="L2:L133" xr:uid="{86FE78AC-95FB-4C97-A94C-4989549E9634}">
      <formula1>INDIRECT("PurchasedFromList[Purchased from]")</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F2EF-C3CB-4052-B4B6-234C11D1CF48}">
  <sheetPr codeName="Лист3"/>
  <dimension ref="A1:A1096"/>
  <sheetViews>
    <sheetView workbookViewId="0">
      <selection activeCell="A2" sqref="A2:A1097"/>
    </sheetView>
  </sheetViews>
  <sheetFormatPr defaultRowHeight="15.75" x14ac:dyDescent="0.3"/>
  <sheetData>
    <row r="1" spans="1:1" x14ac:dyDescent="0.3">
      <c r="A1" t="s">
        <v>7</v>
      </c>
    </row>
    <row r="2" spans="1:1" x14ac:dyDescent="0.3">
      <c r="A2" t="s">
        <v>8</v>
      </c>
    </row>
    <row r="3" spans="1:1" x14ac:dyDescent="0.3">
      <c r="A3" t="s">
        <v>9</v>
      </c>
    </row>
    <row r="4" spans="1:1" x14ac:dyDescent="0.3">
      <c r="A4" t="s">
        <v>10</v>
      </c>
    </row>
    <row r="5" spans="1:1" x14ac:dyDescent="0.3">
      <c r="A5" t="s">
        <v>11</v>
      </c>
    </row>
    <row r="6" spans="1:1" x14ac:dyDescent="0.3">
      <c r="A6" t="s">
        <v>12</v>
      </c>
    </row>
    <row r="7" spans="1:1" x14ac:dyDescent="0.3">
      <c r="A7" t="s">
        <v>13</v>
      </c>
    </row>
    <row r="8" spans="1:1" x14ac:dyDescent="0.3">
      <c r="A8" t="s">
        <v>14</v>
      </c>
    </row>
    <row r="9" spans="1:1" x14ac:dyDescent="0.3">
      <c r="A9" t="s">
        <v>15</v>
      </c>
    </row>
    <row r="10" spans="1:1" x14ac:dyDescent="0.3">
      <c r="A10" t="s">
        <v>16</v>
      </c>
    </row>
    <row r="11" spans="1:1" x14ac:dyDescent="0.3">
      <c r="A11" t="s">
        <v>17</v>
      </c>
    </row>
    <row r="12" spans="1:1" x14ac:dyDescent="0.3">
      <c r="A12" t="s">
        <v>18</v>
      </c>
    </row>
    <row r="13" spans="1:1" x14ac:dyDescent="0.3">
      <c r="A13" t="s">
        <v>19</v>
      </c>
    </row>
    <row r="14" spans="1:1" x14ac:dyDescent="0.3">
      <c r="A14" t="s">
        <v>20</v>
      </c>
    </row>
    <row r="15" spans="1:1" x14ac:dyDescent="0.3">
      <c r="A15" t="s">
        <v>21</v>
      </c>
    </row>
    <row r="16" spans="1:1" x14ac:dyDescent="0.3">
      <c r="A16" t="s">
        <v>22</v>
      </c>
    </row>
    <row r="17" spans="1:1" x14ac:dyDescent="0.3">
      <c r="A17" t="s">
        <v>23</v>
      </c>
    </row>
    <row r="18" spans="1:1" x14ac:dyDescent="0.3">
      <c r="A18" t="s">
        <v>24</v>
      </c>
    </row>
    <row r="19" spans="1:1" x14ac:dyDescent="0.3">
      <c r="A19" t="s">
        <v>25</v>
      </c>
    </row>
    <row r="20" spans="1:1" x14ac:dyDescent="0.3">
      <c r="A20" t="s">
        <v>26</v>
      </c>
    </row>
    <row r="21" spans="1:1" x14ac:dyDescent="0.3">
      <c r="A21" t="s">
        <v>27</v>
      </c>
    </row>
    <row r="22" spans="1:1" x14ac:dyDescent="0.3">
      <c r="A22" t="s">
        <v>28</v>
      </c>
    </row>
    <row r="23" spans="1:1" x14ac:dyDescent="0.3">
      <c r="A23" t="s">
        <v>29</v>
      </c>
    </row>
    <row r="24" spans="1:1" x14ac:dyDescent="0.3">
      <c r="A24" t="s">
        <v>30</v>
      </c>
    </row>
    <row r="25" spans="1:1" x14ac:dyDescent="0.3">
      <c r="A25" t="s">
        <v>31</v>
      </c>
    </row>
    <row r="26" spans="1:1" x14ac:dyDescent="0.3">
      <c r="A26" t="s">
        <v>32</v>
      </c>
    </row>
    <row r="27" spans="1:1" x14ac:dyDescent="0.3">
      <c r="A27" t="s">
        <v>33</v>
      </c>
    </row>
    <row r="28" spans="1:1" x14ac:dyDescent="0.3">
      <c r="A28" t="s">
        <v>34</v>
      </c>
    </row>
    <row r="29" spans="1:1" x14ac:dyDescent="0.3">
      <c r="A29" t="s">
        <v>35</v>
      </c>
    </row>
    <row r="30" spans="1:1" x14ac:dyDescent="0.3">
      <c r="A30" t="s">
        <v>36</v>
      </c>
    </row>
    <row r="31" spans="1:1" x14ac:dyDescent="0.3">
      <c r="A31" t="s">
        <v>37</v>
      </c>
    </row>
    <row r="32" spans="1:1" x14ac:dyDescent="0.3">
      <c r="A32" t="s">
        <v>38</v>
      </c>
    </row>
    <row r="33" spans="1:1" x14ac:dyDescent="0.3">
      <c r="A33" t="s">
        <v>39</v>
      </c>
    </row>
    <row r="34" spans="1:1" x14ac:dyDescent="0.3">
      <c r="A34" t="s">
        <v>40</v>
      </c>
    </row>
    <row r="35" spans="1:1" x14ac:dyDescent="0.3">
      <c r="A35" t="s">
        <v>41</v>
      </c>
    </row>
    <row r="36" spans="1:1" x14ac:dyDescent="0.3">
      <c r="A36" t="s">
        <v>42</v>
      </c>
    </row>
    <row r="37" spans="1:1" x14ac:dyDescent="0.3">
      <c r="A37" t="s">
        <v>43</v>
      </c>
    </row>
    <row r="38" spans="1:1" x14ac:dyDescent="0.3">
      <c r="A38" t="s">
        <v>44</v>
      </c>
    </row>
    <row r="39" spans="1:1" x14ac:dyDescent="0.3">
      <c r="A39" t="s">
        <v>45</v>
      </c>
    </row>
    <row r="40" spans="1:1" x14ac:dyDescent="0.3">
      <c r="A40" t="s">
        <v>46</v>
      </c>
    </row>
    <row r="41" spans="1:1" x14ac:dyDescent="0.3">
      <c r="A41" t="s">
        <v>47</v>
      </c>
    </row>
    <row r="42" spans="1:1" x14ac:dyDescent="0.3">
      <c r="A42" t="s">
        <v>48</v>
      </c>
    </row>
    <row r="43" spans="1:1" x14ac:dyDescent="0.3">
      <c r="A43" t="s">
        <v>49</v>
      </c>
    </row>
    <row r="44" spans="1:1" x14ac:dyDescent="0.3">
      <c r="A44" t="s">
        <v>50</v>
      </c>
    </row>
    <row r="45" spans="1:1" x14ac:dyDescent="0.3">
      <c r="A45" t="s">
        <v>51</v>
      </c>
    </row>
    <row r="46" spans="1:1" x14ac:dyDescent="0.3">
      <c r="A46" t="s">
        <v>52</v>
      </c>
    </row>
    <row r="47" spans="1:1" x14ac:dyDescent="0.3">
      <c r="A47" t="s">
        <v>53</v>
      </c>
    </row>
    <row r="48" spans="1:1" x14ac:dyDescent="0.3">
      <c r="A48" t="s">
        <v>54</v>
      </c>
    </row>
    <row r="49" spans="1:1" x14ac:dyDescent="0.3">
      <c r="A49" t="s">
        <v>55</v>
      </c>
    </row>
    <row r="50" spans="1:1" x14ac:dyDescent="0.3">
      <c r="A50" t="s">
        <v>56</v>
      </c>
    </row>
    <row r="51" spans="1:1" x14ac:dyDescent="0.3">
      <c r="A51" t="s">
        <v>57</v>
      </c>
    </row>
    <row r="52" spans="1:1" x14ac:dyDescent="0.3">
      <c r="A52" t="s">
        <v>58</v>
      </c>
    </row>
    <row r="53" spans="1:1" x14ac:dyDescent="0.3">
      <c r="A53" t="s">
        <v>59</v>
      </c>
    </row>
    <row r="54" spans="1:1" x14ac:dyDescent="0.3">
      <c r="A54" t="s">
        <v>60</v>
      </c>
    </row>
    <row r="55" spans="1:1" x14ac:dyDescent="0.3">
      <c r="A55" t="s">
        <v>61</v>
      </c>
    </row>
    <row r="56" spans="1:1" x14ac:dyDescent="0.3">
      <c r="A56" t="s">
        <v>62</v>
      </c>
    </row>
    <row r="57" spans="1:1" x14ac:dyDescent="0.3">
      <c r="A57" t="s">
        <v>63</v>
      </c>
    </row>
    <row r="58" spans="1:1" x14ac:dyDescent="0.3">
      <c r="A58" t="s">
        <v>64</v>
      </c>
    </row>
    <row r="59" spans="1:1" x14ac:dyDescent="0.3">
      <c r="A59" t="s">
        <v>65</v>
      </c>
    </row>
    <row r="60" spans="1:1" x14ac:dyDescent="0.3">
      <c r="A60" t="s">
        <v>66</v>
      </c>
    </row>
    <row r="61" spans="1:1" x14ac:dyDescent="0.3">
      <c r="A61" t="s">
        <v>67</v>
      </c>
    </row>
    <row r="62" spans="1:1" x14ac:dyDescent="0.3">
      <c r="A62" t="s">
        <v>68</v>
      </c>
    </row>
    <row r="63" spans="1:1" x14ac:dyDescent="0.3">
      <c r="A63" t="s">
        <v>69</v>
      </c>
    </row>
    <row r="64" spans="1:1" x14ac:dyDescent="0.3">
      <c r="A64" t="s">
        <v>70</v>
      </c>
    </row>
    <row r="65" spans="1:1" x14ac:dyDescent="0.3">
      <c r="A65" t="s">
        <v>71</v>
      </c>
    </row>
    <row r="66" spans="1:1" x14ac:dyDescent="0.3">
      <c r="A66" t="s">
        <v>72</v>
      </c>
    </row>
    <row r="67" spans="1:1" x14ac:dyDescent="0.3">
      <c r="A67" t="s">
        <v>73</v>
      </c>
    </row>
    <row r="68" spans="1:1" x14ac:dyDescent="0.3">
      <c r="A68" t="s">
        <v>74</v>
      </c>
    </row>
    <row r="69" spans="1:1" x14ac:dyDescent="0.3">
      <c r="A69" t="s">
        <v>75</v>
      </c>
    </row>
    <row r="70" spans="1:1" x14ac:dyDescent="0.3">
      <c r="A70" t="s">
        <v>76</v>
      </c>
    </row>
    <row r="71" spans="1:1" x14ac:dyDescent="0.3">
      <c r="A71" t="s">
        <v>77</v>
      </c>
    </row>
    <row r="72" spans="1:1" x14ac:dyDescent="0.3">
      <c r="A72" t="s">
        <v>78</v>
      </c>
    </row>
    <row r="73" spans="1:1" x14ac:dyDescent="0.3">
      <c r="A73" t="s">
        <v>79</v>
      </c>
    </row>
    <row r="74" spans="1:1" x14ac:dyDescent="0.3">
      <c r="A74" t="s">
        <v>80</v>
      </c>
    </row>
    <row r="75" spans="1:1" x14ac:dyDescent="0.3">
      <c r="A75" t="s">
        <v>81</v>
      </c>
    </row>
    <row r="76" spans="1:1" x14ac:dyDescent="0.3">
      <c r="A76" t="s">
        <v>82</v>
      </c>
    </row>
    <row r="77" spans="1:1" x14ac:dyDescent="0.3">
      <c r="A77" t="s">
        <v>83</v>
      </c>
    </row>
    <row r="78" spans="1:1" x14ac:dyDescent="0.3">
      <c r="A78" t="s">
        <v>84</v>
      </c>
    </row>
    <row r="79" spans="1:1" x14ac:dyDescent="0.3">
      <c r="A79" t="s">
        <v>85</v>
      </c>
    </row>
    <row r="80" spans="1:1" x14ac:dyDescent="0.3">
      <c r="A80" t="s">
        <v>86</v>
      </c>
    </row>
    <row r="81" spans="1:1" x14ac:dyDescent="0.3">
      <c r="A81" t="s">
        <v>87</v>
      </c>
    </row>
    <row r="82" spans="1:1" x14ac:dyDescent="0.3">
      <c r="A82" t="s">
        <v>88</v>
      </c>
    </row>
    <row r="83" spans="1:1" x14ac:dyDescent="0.3">
      <c r="A83" t="s">
        <v>89</v>
      </c>
    </row>
    <row r="84" spans="1:1" x14ac:dyDescent="0.3">
      <c r="A84" t="s">
        <v>90</v>
      </c>
    </row>
    <row r="85" spans="1:1" x14ac:dyDescent="0.3">
      <c r="A85" t="s">
        <v>91</v>
      </c>
    </row>
    <row r="86" spans="1:1" x14ac:dyDescent="0.3">
      <c r="A86" t="s">
        <v>92</v>
      </c>
    </row>
    <row r="87" spans="1:1" x14ac:dyDescent="0.3">
      <c r="A87" t="s">
        <v>93</v>
      </c>
    </row>
    <row r="88" spans="1:1" x14ac:dyDescent="0.3">
      <c r="A88" t="s">
        <v>94</v>
      </c>
    </row>
    <row r="89" spans="1:1" x14ac:dyDescent="0.3">
      <c r="A89" t="s">
        <v>95</v>
      </c>
    </row>
    <row r="90" spans="1:1" x14ac:dyDescent="0.3">
      <c r="A90" t="s">
        <v>96</v>
      </c>
    </row>
    <row r="91" spans="1:1" x14ac:dyDescent="0.3">
      <c r="A91" t="s">
        <v>97</v>
      </c>
    </row>
    <row r="92" spans="1:1" x14ac:dyDescent="0.3">
      <c r="A92" t="s">
        <v>98</v>
      </c>
    </row>
    <row r="93" spans="1:1" x14ac:dyDescent="0.3">
      <c r="A93" t="s">
        <v>99</v>
      </c>
    </row>
    <row r="94" spans="1:1" x14ac:dyDescent="0.3">
      <c r="A94" t="s">
        <v>100</v>
      </c>
    </row>
    <row r="95" spans="1:1" x14ac:dyDescent="0.3">
      <c r="A95" t="s">
        <v>101</v>
      </c>
    </row>
    <row r="96" spans="1:1" x14ac:dyDescent="0.3">
      <c r="A96" t="s">
        <v>102</v>
      </c>
    </row>
    <row r="97" spans="1:1" x14ac:dyDescent="0.3">
      <c r="A97" t="s">
        <v>103</v>
      </c>
    </row>
    <row r="98" spans="1:1" x14ac:dyDescent="0.3">
      <c r="A98" t="s">
        <v>104</v>
      </c>
    </row>
    <row r="99" spans="1:1" x14ac:dyDescent="0.3">
      <c r="A99" t="s">
        <v>105</v>
      </c>
    </row>
    <row r="100" spans="1:1" x14ac:dyDescent="0.3">
      <c r="A100" t="s">
        <v>106</v>
      </c>
    </row>
    <row r="101" spans="1:1" x14ac:dyDescent="0.3">
      <c r="A101" t="s">
        <v>107</v>
      </c>
    </row>
    <row r="102" spans="1:1" x14ac:dyDescent="0.3">
      <c r="A102" t="s">
        <v>108</v>
      </c>
    </row>
    <row r="103" spans="1:1" x14ac:dyDescent="0.3">
      <c r="A103" t="s">
        <v>109</v>
      </c>
    </row>
    <row r="104" spans="1:1" x14ac:dyDescent="0.3">
      <c r="A104" t="s">
        <v>110</v>
      </c>
    </row>
    <row r="105" spans="1:1" x14ac:dyDescent="0.3">
      <c r="A105" t="s">
        <v>111</v>
      </c>
    </row>
    <row r="106" spans="1:1" x14ac:dyDescent="0.3">
      <c r="A106" t="s">
        <v>112</v>
      </c>
    </row>
    <row r="107" spans="1:1" x14ac:dyDescent="0.3">
      <c r="A107" t="s">
        <v>113</v>
      </c>
    </row>
    <row r="108" spans="1:1" x14ac:dyDescent="0.3">
      <c r="A108" t="s">
        <v>114</v>
      </c>
    </row>
    <row r="109" spans="1:1" x14ac:dyDescent="0.3">
      <c r="A109" t="s">
        <v>115</v>
      </c>
    </row>
    <row r="110" spans="1:1" x14ac:dyDescent="0.3">
      <c r="A110" t="s">
        <v>116</v>
      </c>
    </row>
    <row r="111" spans="1:1" x14ac:dyDescent="0.3">
      <c r="A111" t="s">
        <v>117</v>
      </c>
    </row>
    <row r="112" spans="1:1" x14ac:dyDescent="0.3">
      <c r="A112" t="s">
        <v>118</v>
      </c>
    </row>
    <row r="113" spans="1:1" x14ac:dyDescent="0.3">
      <c r="A113" t="s">
        <v>119</v>
      </c>
    </row>
    <row r="114" spans="1:1" x14ac:dyDescent="0.3">
      <c r="A114" t="s">
        <v>120</v>
      </c>
    </row>
    <row r="115" spans="1:1" x14ac:dyDescent="0.3">
      <c r="A115" t="s">
        <v>121</v>
      </c>
    </row>
    <row r="116" spans="1:1" x14ac:dyDescent="0.3">
      <c r="A116" t="s">
        <v>122</v>
      </c>
    </row>
    <row r="117" spans="1:1" x14ac:dyDescent="0.3">
      <c r="A117" t="s">
        <v>123</v>
      </c>
    </row>
    <row r="118" spans="1:1" x14ac:dyDescent="0.3">
      <c r="A118" t="s">
        <v>124</v>
      </c>
    </row>
    <row r="119" spans="1:1" x14ac:dyDescent="0.3">
      <c r="A119" t="s">
        <v>125</v>
      </c>
    </row>
    <row r="120" spans="1:1" x14ac:dyDescent="0.3">
      <c r="A120" t="s">
        <v>126</v>
      </c>
    </row>
    <row r="121" spans="1:1" x14ac:dyDescent="0.3">
      <c r="A121" t="s">
        <v>127</v>
      </c>
    </row>
    <row r="122" spans="1:1" x14ac:dyDescent="0.3">
      <c r="A122" t="s">
        <v>128</v>
      </c>
    </row>
    <row r="123" spans="1:1" x14ac:dyDescent="0.3">
      <c r="A123" t="s">
        <v>129</v>
      </c>
    </row>
    <row r="124" spans="1:1" x14ac:dyDescent="0.3">
      <c r="A124" t="s">
        <v>130</v>
      </c>
    </row>
    <row r="125" spans="1:1" x14ac:dyDescent="0.3">
      <c r="A125" t="s">
        <v>131</v>
      </c>
    </row>
    <row r="126" spans="1:1" x14ac:dyDescent="0.3">
      <c r="A126" t="s">
        <v>132</v>
      </c>
    </row>
    <row r="127" spans="1:1" x14ac:dyDescent="0.3">
      <c r="A127" t="s">
        <v>133</v>
      </c>
    </row>
    <row r="128" spans="1:1" x14ac:dyDescent="0.3">
      <c r="A128" t="s">
        <v>134</v>
      </c>
    </row>
    <row r="129" spans="1:1" x14ac:dyDescent="0.3">
      <c r="A129" t="s">
        <v>135</v>
      </c>
    </row>
    <row r="130" spans="1:1" x14ac:dyDescent="0.3">
      <c r="A130" t="s">
        <v>136</v>
      </c>
    </row>
    <row r="131" spans="1:1" x14ac:dyDescent="0.3">
      <c r="A131" t="s">
        <v>137</v>
      </c>
    </row>
    <row r="132" spans="1:1" x14ac:dyDescent="0.3">
      <c r="A132" t="s">
        <v>138</v>
      </c>
    </row>
    <row r="133" spans="1:1" x14ac:dyDescent="0.3">
      <c r="A133" t="s">
        <v>139</v>
      </c>
    </row>
    <row r="134" spans="1:1" x14ac:dyDescent="0.3">
      <c r="A134" t="s">
        <v>140</v>
      </c>
    </row>
    <row r="135" spans="1:1" x14ac:dyDescent="0.3">
      <c r="A135" t="s">
        <v>141</v>
      </c>
    </row>
    <row r="136" spans="1:1" x14ac:dyDescent="0.3">
      <c r="A136" t="s">
        <v>142</v>
      </c>
    </row>
    <row r="137" spans="1:1" x14ac:dyDescent="0.3">
      <c r="A137" t="s">
        <v>143</v>
      </c>
    </row>
    <row r="138" spans="1:1" x14ac:dyDescent="0.3">
      <c r="A138" t="s">
        <v>144</v>
      </c>
    </row>
    <row r="139" spans="1:1" x14ac:dyDescent="0.3">
      <c r="A139" t="s">
        <v>145</v>
      </c>
    </row>
    <row r="140" spans="1:1" x14ac:dyDescent="0.3">
      <c r="A140" t="s">
        <v>146</v>
      </c>
    </row>
    <row r="141" spans="1:1" x14ac:dyDescent="0.3">
      <c r="A141" t="s">
        <v>147</v>
      </c>
    </row>
    <row r="142" spans="1:1" x14ac:dyDescent="0.3">
      <c r="A142" t="s">
        <v>148</v>
      </c>
    </row>
    <row r="143" spans="1:1" x14ac:dyDescent="0.3">
      <c r="A143" t="s">
        <v>149</v>
      </c>
    </row>
    <row r="144" spans="1:1" x14ac:dyDescent="0.3">
      <c r="A144" t="s">
        <v>150</v>
      </c>
    </row>
    <row r="145" spans="1:1" x14ac:dyDescent="0.3">
      <c r="A145" t="s">
        <v>151</v>
      </c>
    </row>
    <row r="146" spans="1:1" x14ac:dyDescent="0.3">
      <c r="A146" t="s">
        <v>152</v>
      </c>
    </row>
    <row r="147" spans="1:1" x14ac:dyDescent="0.3">
      <c r="A147" t="s">
        <v>153</v>
      </c>
    </row>
    <row r="148" spans="1:1" x14ac:dyDescent="0.3">
      <c r="A148" t="s">
        <v>154</v>
      </c>
    </row>
    <row r="149" spans="1:1" x14ac:dyDescent="0.3">
      <c r="A149" t="s">
        <v>155</v>
      </c>
    </row>
    <row r="150" spans="1:1" x14ac:dyDescent="0.3">
      <c r="A150" t="s">
        <v>156</v>
      </c>
    </row>
    <row r="151" spans="1:1" x14ac:dyDescent="0.3">
      <c r="A151" t="s">
        <v>157</v>
      </c>
    </row>
    <row r="152" spans="1:1" x14ac:dyDescent="0.3">
      <c r="A152" t="s">
        <v>158</v>
      </c>
    </row>
    <row r="153" spans="1:1" x14ac:dyDescent="0.3">
      <c r="A153" t="s">
        <v>159</v>
      </c>
    </row>
    <row r="154" spans="1:1" x14ac:dyDescent="0.3">
      <c r="A154" t="s">
        <v>160</v>
      </c>
    </row>
    <row r="155" spans="1:1" x14ac:dyDescent="0.3">
      <c r="A155" t="s">
        <v>161</v>
      </c>
    </row>
    <row r="156" spans="1:1" x14ac:dyDescent="0.3">
      <c r="A156" t="s">
        <v>162</v>
      </c>
    </row>
    <row r="157" spans="1:1" x14ac:dyDescent="0.3">
      <c r="A157" t="s">
        <v>163</v>
      </c>
    </row>
    <row r="158" spans="1:1" x14ac:dyDescent="0.3">
      <c r="A158" t="s">
        <v>164</v>
      </c>
    </row>
    <row r="159" spans="1:1" x14ac:dyDescent="0.3">
      <c r="A159" t="s">
        <v>165</v>
      </c>
    </row>
    <row r="160" spans="1:1" x14ac:dyDescent="0.3">
      <c r="A160" t="s">
        <v>166</v>
      </c>
    </row>
    <row r="161" spans="1:1" x14ac:dyDescent="0.3">
      <c r="A161" t="s">
        <v>167</v>
      </c>
    </row>
    <row r="162" spans="1:1" x14ac:dyDescent="0.3">
      <c r="A162" t="s">
        <v>168</v>
      </c>
    </row>
    <row r="163" spans="1:1" x14ac:dyDescent="0.3">
      <c r="A163" t="s">
        <v>169</v>
      </c>
    </row>
    <row r="164" spans="1:1" x14ac:dyDescent="0.3">
      <c r="A164" t="s">
        <v>170</v>
      </c>
    </row>
    <row r="165" spans="1:1" x14ac:dyDescent="0.3">
      <c r="A165" t="s">
        <v>171</v>
      </c>
    </row>
    <row r="166" spans="1:1" x14ac:dyDescent="0.3">
      <c r="A166" t="s">
        <v>172</v>
      </c>
    </row>
    <row r="167" spans="1:1" x14ac:dyDescent="0.3">
      <c r="A167" t="s">
        <v>173</v>
      </c>
    </row>
    <row r="168" spans="1:1" x14ac:dyDescent="0.3">
      <c r="A168" t="s">
        <v>174</v>
      </c>
    </row>
    <row r="169" spans="1:1" x14ac:dyDescent="0.3">
      <c r="A169" t="s">
        <v>175</v>
      </c>
    </row>
    <row r="170" spans="1:1" x14ac:dyDescent="0.3">
      <c r="A170" t="s">
        <v>176</v>
      </c>
    </row>
    <row r="171" spans="1:1" x14ac:dyDescent="0.3">
      <c r="A171" t="s">
        <v>177</v>
      </c>
    </row>
    <row r="172" spans="1:1" x14ac:dyDescent="0.3">
      <c r="A172" t="s">
        <v>178</v>
      </c>
    </row>
    <row r="173" spans="1:1" x14ac:dyDescent="0.3">
      <c r="A173" t="s">
        <v>179</v>
      </c>
    </row>
    <row r="174" spans="1:1" x14ac:dyDescent="0.3">
      <c r="A174" t="s">
        <v>180</v>
      </c>
    </row>
    <row r="175" spans="1:1" x14ac:dyDescent="0.3">
      <c r="A175" t="s">
        <v>181</v>
      </c>
    </row>
    <row r="176" spans="1:1" x14ac:dyDescent="0.3">
      <c r="A176" t="s">
        <v>182</v>
      </c>
    </row>
    <row r="177" spans="1:1" x14ac:dyDescent="0.3">
      <c r="A177" t="s">
        <v>183</v>
      </c>
    </row>
    <row r="178" spans="1:1" x14ac:dyDescent="0.3">
      <c r="A178" t="s">
        <v>184</v>
      </c>
    </row>
    <row r="179" spans="1:1" x14ac:dyDescent="0.3">
      <c r="A179" t="s">
        <v>185</v>
      </c>
    </row>
    <row r="180" spans="1:1" x14ac:dyDescent="0.3">
      <c r="A180" t="s">
        <v>186</v>
      </c>
    </row>
    <row r="181" spans="1:1" x14ac:dyDescent="0.3">
      <c r="A181" t="s">
        <v>187</v>
      </c>
    </row>
    <row r="182" spans="1:1" x14ac:dyDescent="0.3">
      <c r="A182" t="s">
        <v>188</v>
      </c>
    </row>
    <row r="183" spans="1:1" x14ac:dyDescent="0.3">
      <c r="A183" t="s">
        <v>189</v>
      </c>
    </row>
    <row r="184" spans="1:1" x14ac:dyDescent="0.3">
      <c r="A184" t="s">
        <v>190</v>
      </c>
    </row>
    <row r="185" spans="1:1" x14ac:dyDescent="0.3">
      <c r="A185" t="s">
        <v>191</v>
      </c>
    </row>
    <row r="186" spans="1:1" x14ac:dyDescent="0.3">
      <c r="A186" t="s">
        <v>192</v>
      </c>
    </row>
    <row r="187" spans="1:1" x14ac:dyDescent="0.3">
      <c r="A187" t="s">
        <v>193</v>
      </c>
    </row>
    <row r="188" spans="1:1" x14ac:dyDescent="0.3">
      <c r="A188" t="s">
        <v>194</v>
      </c>
    </row>
    <row r="189" spans="1:1" x14ac:dyDescent="0.3">
      <c r="A189" t="s">
        <v>195</v>
      </c>
    </row>
    <row r="190" spans="1:1" x14ac:dyDescent="0.3">
      <c r="A190" t="s">
        <v>196</v>
      </c>
    </row>
    <row r="191" spans="1:1" x14ac:dyDescent="0.3">
      <c r="A191" t="s">
        <v>197</v>
      </c>
    </row>
    <row r="192" spans="1:1" x14ac:dyDescent="0.3">
      <c r="A192" t="s">
        <v>198</v>
      </c>
    </row>
    <row r="193" spans="1:1" x14ac:dyDescent="0.3">
      <c r="A193" t="s">
        <v>199</v>
      </c>
    </row>
    <row r="194" spans="1:1" x14ac:dyDescent="0.3">
      <c r="A194" t="s">
        <v>200</v>
      </c>
    </row>
    <row r="195" spans="1:1" x14ac:dyDescent="0.3">
      <c r="A195" t="s">
        <v>201</v>
      </c>
    </row>
    <row r="196" spans="1:1" x14ac:dyDescent="0.3">
      <c r="A196" t="s">
        <v>202</v>
      </c>
    </row>
    <row r="197" spans="1:1" x14ac:dyDescent="0.3">
      <c r="A197" t="s">
        <v>203</v>
      </c>
    </row>
    <row r="198" spans="1:1" x14ac:dyDescent="0.3">
      <c r="A198" t="s">
        <v>204</v>
      </c>
    </row>
    <row r="199" spans="1:1" x14ac:dyDescent="0.3">
      <c r="A199" t="s">
        <v>205</v>
      </c>
    </row>
    <row r="200" spans="1:1" x14ac:dyDescent="0.3">
      <c r="A200" t="s">
        <v>206</v>
      </c>
    </row>
    <row r="201" spans="1:1" x14ac:dyDescent="0.3">
      <c r="A201" t="s">
        <v>207</v>
      </c>
    </row>
    <row r="202" spans="1:1" x14ac:dyDescent="0.3">
      <c r="A202" t="s">
        <v>208</v>
      </c>
    </row>
    <row r="203" spans="1:1" x14ac:dyDescent="0.3">
      <c r="A203" t="s">
        <v>209</v>
      </c>
    </row>
    <row r="204" spans="1:1" x14ac:dyDescent="0.3">
      <c r="A204" t="s">
        <v>210</v>
      </c>
    </row>
    <row r="205" spans="1:1" x14ac:dyDescent="0.3">
      <c r="A205" t="s">
        <v>211</v>
      </c>
    </row>
    <row r="206" spans="1:1" x14ac:dyDescent="0.3">
      <c r="A206" t="s">
        <v>212</v>
      </c>
    </row>
    <row r="207" spans="1:1" x14ac:dyDescent="0.3">
      <c r="A207" t="s">
        <v>213</v>
      </c>
    </row>
    <row r="208" spans="1:1" x14ac:dyDescent="0.3">
      <c r="A208" t="s">
        <v>214</v>
      </c>
    </row>
    <row r="209" spans="1:1" x14ac:dyDescent="0.3">
      <c r="A209" t="s">
        <v>215</v>
      </c>
    </row>
    <row r="210" spans="1:1" x14ac:dyDescent="0.3">
      <c r="A210" t="s">
        <v>216</v>
      </c>
    </row>
    <row r="211" spans="1:1" x14ac:dyDescent="0.3">
      <c r="A211" t="s">
        <v>217</v>
      </c>
    </row>
    <row r="212" spans="1:1" x14ac:dyDescent="0.3">
      <c r="A212" t="s">
        <v>218</v>
      </c>
    </row>
    <row r="213" spans="1:1" x14ac:dyDescent="0.3">
      <c r="A213" t="s">
        <v>219</v>
      </c>
    </row>
    <row r="214" spans="1:1" x14ac:dyDescent="0.3">
      <c r="A214" t="s">
        <v>220</v>
      </c>
    </row>
    <row r="215" spans="1:1" x14ac:dyDescent="0.3">
      <c r="A215" t="s">
        <v>221</v>
      </c>
    </row>
    <row r="216" spans="1:1" x14ac:dyDescent="0.3">
      <c r="A216" t="s">
        <v>222</v>
      </c>
    </row>
    <row r="217" spans="1:1" x14ac:dyDescent="0.3">
      <c r="A217" t="s">
        <v>223</v>
      </c>
    </row>
    <row r="218" spans="1:1" x14ac:dyDescent="0.3">
      <c r="A218" t="s">
        <v>224</v>
      </c>
    </row>
    <row r="219" spans="1:1" x14ac:dyDescent="0.3">
      <c r="A219" t="s">
        <v>225</v>
      </c>
    </row>
    <row r="220" spans="1:1" x14ac:dyDescent="0.3">
      <c r="A220" t="s">
        <v>226</v>
      </c>
    </row>
    <row r="221" spans="1:1" x14ac:dyDescent="0.3">
      <c r="A221" t="s">
        <v>227</v>
      </c>
    </row>
    <row r="222" spans="1:1" x14ac:dyDescent="0.3">
      <c r="A222" t="s">
        <v>228</v>
      </c>
    </row>
    <row r="223" spans="1:1" x14ac:dyDescent="0.3">
      <c r="A223" t="s">
        <v>229</v>
      </c>
    </row>
    <row r="224" spans="1:1" x14ac:dyDescent="0.3">
      <c r="A224" t="s">
        <v>230</v>
      </c>
    </row>
    <row r="225" spans="1:1" x14ac:dyDescent="0.3">
      <c r="A225" t="s">
        <v>231</v>
      </c>
    </row>
    <row r="226" spans="1:1" x14ac:dyDescent="0.3">
      <c r="A226" t="s">
        <v>232</v>
      </c>
    </row>
    <row r="227" spans="1:1" x14ac:dyDescent="0.3">
      <c r="A227" t="s">
        <v>233</v>
      </c>
    </row>
    <row r="228" spans="1:1" x14ac:dyDescent="0.3">
      <c r="A228" t="s">
        <v>234</v>
      </c>
    </row>
    <row r="229" spans="1:1" x14ac:dyDescent="0.3">
      <c r="A229" t="s">
        <v>235</v>
      </c>
    </row>
    <row r="230" spans="1:1" x14ac:dyDescent="0.3">
      <c r="A230" t="s">
        <v>236</v>
      </c>
    </row>
    <row r="231" spans="1:1" x14ac:dyDescent="0.3">
      <c r="A231" t="s">
        <v>237</v>
      </c>
    </row>
    <row r="232" spans="1:1" x14ac:dyDescent="0.3">
      <c r="A232" t="s">
        <v>238</v>
      </c>
    </row>
    <row r="233" spans="1:1" x14ac:dyDescent="0.3">
      <c r="A233" t="s">
        <v>239</v>
      </c>
    </row>
    <row r="234" spans="1:1" x14ac:dyDescent="0.3">
      <c r="A234" t="s">
        <v>240</v>
      </c>
    </row>
    <row r="235" spans="1:1" x14ac:dyDescent="0.3">
      <c r="A235" t="s">
        <v>241</v>
      </c>
    </row>
    <row r="236" spans="1:1" x14ac:dyDescent="0.3">
      <c r="A236" t="s">
        <v>242</v>
      </c>
    </row>
    <row r="237" spans="1:1" x14ac:dyDescent="0.3">
      <c r="A237" t="s">
        <v>243</v>
      </c>
    </row>
    <row r="238" spans="1:1" x14ac:dyDescent="0.3">
      <c r="A238" t="s">
        <v>244</v>
      </c>
    </row>
    <row r="239" spans="1:1" x14ac:dyDescent="0.3">
      <c r="A239" t="s">
        <v>245</v>
      </c>
    </row>
    <row r="240" spans="1:1" x14ac:dyDescent="0.3">
      <c r="A240" t="s">
        <v>246</v>
      </c>
    </row>
    <row r="241" spans="1:1" x14ac:dyDescent="0.3">
      <c r="A241" t="s">
        <v>247</v>
      </c>
    </row>
    <row r="242" spans="1:1" x14ac:dyDescent="0.3">
      <c r="A242" t="s">
        <v>248</v>
      </c>
    </row>
    <row r="243" spans="1:1" x14ac:dyDescent="0.3">
      <c r="A243" t="s">
        <v>249</v>
      </c>
    </row>
    <row r="244" spans="1:1" x14ac:dyDescent="0.3">
      <c r="A244" t="s">
        <v>250</v>
      </c>
    </row>
    <row r="245" spans="1:1" x14ac:dyDescent="0.3">
      <c r="A245" t="s">
        <v>251</v>
      </c>
    </row>
    <row r="246" spans="1:1" x14ac:dyDescent="0.3">
      <c r="A246" t="s">
        <v>252</v>
      </c>
    </row>
    <row r="247" spans="1:1" x14ac:dyDescent="0.3">
      <c r="A247" t="s">
        <v>253</v>
      </c>
    </row>
    <row r="248" spans="1:1" x14ac:dyDescent="0.3">
      <c r="A248" t="s">
        <v>254</v>
      </c>
    </row>
    <row r="249" spans="1:1" x14ac:dyDescent="0.3">
      <c r="A249" t="s">
        <v>255</v>
      </c>
    </row>
    <row r="250" spans="1:1" x14ac:dyDescent="0.3">
      <c r="A250" t="s">
        <v>256</v>
      </c>
    </row>
    <row r="251" spans="1:1" x14ac:dyDescent="0.3">
      <c r="A251" t="s">
        <v>257</v>
      </c>
    </row>
    <row r="252" spans="1:1" x14ac:dyDescent="0.3">
      <c r="A252" t="s">
        <v>258</v>
      </c>
    </row>
    <row r="253" spans="1:1" x14ac:dyDescent="0.3">
      <c r="A253" t="s">
        <v>259</v>
      </c>
    </row>
    <row r="254" spans="1:1" x14ac:dyDescent="0.3">
      <c r="A254" t="s">
        <v>260</v>
      </c>
    </row>
    <row r="255" spans="1:1" x14ac:dyDescent="0.3">
      <c r="A255" t="s">
        <v>261</v>
      </c>
    </row>
    <row r="256" spans="1:1" x14ac:dyDescent="0.3">
      <c r="A256" t="s">
        <v>262</v>
      </c>
    </row>
    <row r="257" spans="1:1" x14ac:dyDescent="0.3">
      <c r="A257" t="s">
        <v>263</v>
      </c>
    </row>
    <row r="258" spans="1:1" x14ac:dyDescent="0.3">
      <c r="A258" t="s">
        <v>264</v>
      </c>
    </row>
    <row r="259" spans="1:1" x14ac:dyDescent="0.3">
      <c r="A259" t="s">
        <v>265</v>
      </c>
    </row>
    <row r="260" spans="1:1" x14ac:dyDescent="0.3">
      <c r="A260" t="s">
        <v>266</v>
      </c>
    </row>
    <row r="261" spans="1:1" x14ac:dyDescent="0.3">
      <c r="A261" t="s">
        <v>267</v>
      </c>
    </row>
    <row r="262" spans="1:1" x14ac:dyDescent="0.3">
      <c r="A262" t="s">
        <v>268</v>
      </c>
    </row>
    <row r="263" spans="1:1" x14ac:dyDescent="0.3">
      <c r="A263" t="s">
        <v>269</v>
      </c>
    </row>
    <row r="264" spans="1:1" x14ac:dyDescent="0.3">
      <c r="A264" t="s">
        <v>270</v>
      </c>
    </row>
    <row r="265" spans="1:1" x14ac:dyDescent="0.3">
      <c r="A265" t="s">
        <v>271</v>
      </c>
    </row>
    <row r="266" spans="1:1" x14ac:dyDescent="0.3">
      <c r="A266" t="s">
        <v>272</v>
      </c>
    </row>
    <row r="267" spans="1:1" x14ac:dyDescent="0.3">
      <c r="A267" t="s">
        <v>273</v>
      </c>
    </row>
    <row r="268" spans="1:1" x14ac:dyDescent="0.3">
      <c r="A268" t="s">
        <v>274</v>
      </c>
    </row>
    <row r="269" spans="1:1" x14ac:dyDescent="0.3">
      <c r="A269" t="s">
        <v>275</v>
      </c>
    </row>
    <row r="270" spans="1:1" x14ac:dyDescent="0.3">
      <c r="A270" t="s">
        <v>276</v>
      </c>
    </row>
    <row r="271" spans="1:1" x14ac:dyDescent="0.3">
      <c r="A271" t="s">
        <v>277</v>
      </c>
    </row>
    <row r="272" spans="1:1" x14ac:dyDescent="0.3">
      <c r="A272" t="s">
        <v>278</v>
      </c>
    </row>
    <row r="273" spans="1:1" x14ac:dyDescent="0.3">
      <c r="A273" t="s">
        <v>279</v>
      </c>
    </row>
    <row r="274" spans="1:1" x14ac:dyDescent="0.3">
      <c r="A274" t="s">
        <v>280</v>
      </c>
    </row>
    <row r="275" spans="1:1" x14ac:dyDescent="0.3">
      <c r="A275" t="s">
        <v>281</v>
      </c>
    </row>
    <row r="276" spans="1:1" x14ac:dyDescent="0.3">
      <c r="A276" t="s">
        <v>282</v>
      </c>
    </row>
    <row r="277" spans="1:1" x14ac:dyDescent="0.3">
      <c r="A277" t="s">
        <v>283</v>
      </c>
    </row>
    <row r="278" spans="1:1" x14ac:dyDescent="0.3">
      <c r="A278" t="s">
        <v>284</v>
      </c>
    </row>
    <row r="279" spans="1:1" x14ac:dyDescent="0.3">
      <c r="A279" t="s">
        <v>285</v>
      </c>
    </row>
    <row r="280" spans="1:1" x14ac:dyDescent="0.3">
      <c r="A280" t="s">
        <v>286</v>
      </c>
    </row>
    <row r="281" spans="1:1" x14ac:dyDescent="0.3">
      <c r="A281" t="s">
        <v>287</v>
      </c>
    </row>
    <row r="282" spans="1:1" x14ac:dyDescent="0.3">
      <c r="A282" t="s">
        <v>288</v>
      </c>
    </row>
    <row r="283" spans="1:1" x14ac:dyDescent="0.3">
      <c r="A283" t="s">
        <v>289</v>
      </c>
    </row>
    <row r="284" spans="1:1" x14ac:dyDescent="0.3">
      <c r="A284" t="s">
        <v>290</v>
      </c>
    </row>
    <row r="285" spans="1:1" x14ac:dyDescent="0.3">
      <c r="A285" t="s">
        <v>291</v>
      </c>
    </row>
    <row r="286" spans="1:1" x14ac:dyDescent="0.3">
      <c r="A286" t="s">
        <v>292</v>
      </c>
    </row>
    <row r="287" spans="1:1" x14ac:dyDescent="0.3">
      <c r="A287" t="s">
        <v>293</v>
      </c>
    </row>
    <row r="288" spans="1:1" x14ac:dyDescent="0.3">
      <c r="A288" t="s">
        <v>294</v>
      </c>
    </row>
    <row r="289" spans="1:1" x14ac:dyDescent="0.3">
      <c r="A289" t="s">
        <v>295</v>
      </c>
    </row>
    <row r="290" spans="1:1" x14ac:dyDescent="0.3">
      <c r="A290" t="s">
        <v>296</v>
      </c>
    </row>
    <row r="291" spans="1:1" x14ac:dyDescent="0.3">
      <c r="A291" t="s">
        <v>297</v>
      </c>
    </row>
    <row r="292" spans="1:1" x14ac:dyDescent="0.3">
      <c r="A292" t="s">
        <v>298</v>
      </c>
    </row>
    <row r="293" spans="1:1" x14ac:dyDescent="0.3">
      <c r="A293" t="s">
        <v>299</v>
      </c>
    </row>
    <row r="294" spans="1:1" x14ac:dyDescent="0.3">
      <c r="A294" t="s">
        <v>300</v>
      </c>
    </row>
    <row r="295" spans="1:1" x14ac:dyDescent="0.3">
      <c r="A295" t="s">
        <v>301</v>
      </c>
    </row>
    <row r="296" spans="1:1" x14ac:dyDescent="0.3">
      <c r="A296" t="s">
        <v>302</v>
      </c>
    </row>
    <row r="297" spans="1:1" x14ac:dyDescent="0.3">
      <c r="A297" t="s">
        <v>303</v>
      </c>
    </row>
    <row r="298" spans="1:1" x14ac:dyDescent="0.3">
      <c r="A298" t="s">
        <v>304</v>
      </c>
    </row>
    <row r="299" spans="1:1" x14ac:dyDescent="0.3">
      <c r="A299" t="s">
        <v>305</v>
      </c>
    </row>
    <row r="300" spans="1:1" x14ac:dyDescent="0.3">
      <c r="A300" t="s">
        <v>306</v>
      </c>
    </row>
    <row r="301" spans="1:1" x14ac:dyDescent="0.3">
      <c r="A301" t="s">
        <v>307</v>
      </c>
    </row>
    <row r="302" spans="1:1" x14ac:dyDescent="0.3">
      <c r="A302" t="s">
        <v>308</v>
      </c>
    </row>
    <row r="303" spans="1:1" x14ac:dyDescent="0.3">
      <c r="A303" t="s">
        <v>309</v>
      </c>
    </row>
    <row r="304" spans="1:1" x14ac:dyDescent="0.3">
      <c r="A304" t="s">
        <v>310</v>
      </c>
    </row>
    <row r="305" spans="1:1" x14ac:dyDescent="0.3">
      <c r="A305" t="s">
        <v>311</v>
      </c>
    </row>
    <row r="306" spans="1:1" x14ac:dyDescent="0.3">
      <c r="A306" t="s">
        <v>312</v>
      </c>
    </row>
    <row r="307" spans="1:1" x14ac:dyDescent="0.3">
      <c r="A307" t="s">
        <v>313</v>
      </c>
    </row>
    <row r="308" spans="1:1" x14ac:dyDescent="0.3">
      <c r="A308" t="s">
        <v>314</v>
      </c>
    </row>
    <row r="309" spans="1:1" x14ac:dyDescent="0.3">
      <c r="A309" t="s">
        <v>315</v>
      </c>
    </row>
    <row r="310" spans="1:1" x14ac:dyDescent="0.3">
      <c r="A310" t="s">
        <v>316</v>
      </c>
    </row>
    <row r="311" spans="1:1" x14ac:dyDescent="0.3">
      <c r="A311" t="s">
        <v>317</v>
      </c>
    </row>
    <row r="312" spans="1:1" x14ac:dyDescent="0.3">
      <c r="A312" t="s">
        <v>318</v>
      </c>
    </row>
    <row r="313" spans="1:1" x14ac:dyDescent="0.3">
      <c r="A313" t="s">
        <v>319</v>
      </c>
    </row>
    <row r="314" spans="1:1" x14ac:dyDescent="0.3">
      <c r="A314" t="s">
        <v>320</v>
      </c>
    </row>
    <row r="315" spans="1:1" x14ac:dyDescent="0.3">
      <c r="A315" t="s">
        <v>321</v>
      </c>
    </row>
    <row r="316" spans="1:1" x14ac:dyDescent="0.3">
      <c r="A316" t="s">
        <v>322</v>
      </c>
    </row>
    <row r="317" spans="1:1" x14ac:dyDescent="0.3">
      <c r="A317" t="s">
        <v>323</v>
      </c>
    </row>
    <row r="318" spans="1:1" x14ac:dyDescent="0.3">
      <c r="A318" t="s">
        <v>324</v>
      </c>
    </row>
    <row r="319" spans="1:1" x14ac:dyDescent="0.3">
      <c r="A319" t="s">
        <v>325</v>
      </c>
    </row>
    <row r="320" spans="1:1" x14ac:dyDescent="0.3">
      <c r="A320" t="s">
        <v>326</v>
      </c>
    </row>
    <row r="321" spans="1:1" x14ac:dyDescent="0.3">
      <c r="A321" t="s">
        <v>327</v>
      </c>
    </row>
    <row r="322" spans="1:1" x14ac:dyDescent="0.3">
      <c r="A322" t="s">
        <v>328</v>
      </c>
    </row>
    <row r="323" spans="1:1" x14ac:dyDescent="0.3">
      <c r="A323" t="s">
        <v>329</v>
      </c>
    </row>
    <row r="324" spans="1:1" x14ac:dyDescent="0.3">
      <c r="A324" t="s">
        <v>330</v>
      </c>
    </row>
    <row r="325" spans="1:1" x14ac:dyDescent="0.3">
      <c r="A325" t="s">
        <v>331</v>
      </c>
    </row>
    <row r="326" spans="1:1" x14ac:dyDescent="0.3">
      <c r="A326" t="s">
        <v>332</v>
      </c>
    </row>
    <row r="327" spans="1:1" x14ac:dyDescent="0.3">
      <c r="A327" t="s">
        <v>333</v>
      </c>
    </row>
    <row r="328" spans="1:1" x14ac:dyDescent="0.3">
      <c r="A328" t="s">
        <v>334</v>
      </c>
    </row>
    <row r="329" spans="1:1" x14ac:dyDescent="0.3">
      <c r="A329" t="s">
        <v>335</v>
      </c>
    </row>
    <row r="330" spans="1:1" x14ac:dyDescent="0.3">
      <c r="A330" t="s">
        <v>336</v>
      </c>
    </row>
    <row r="331" spans="1:1" x14ac:dyDescent="0.3">
      <c r="A331" t="s">
        <v>337</v>
      </c>
    </row>
    <row r="332" spans="1:1" x14ac:dyDescent="0.3">
      <c r="A332" t="s">
        <v>338</v>
      </c>
    </row>
    <row r="333" spans="1:1" x14ac:dyDescent="0.3">
      <c r="A333" t="s">
        <v>339</v>
      </c>
    </row>
    <row r="334" spans="1:1" x14ac:dyDescent="0.3">
      <c r="A334" t="s">
        <v>340</v>
      </c>
    </row>
    <row r="335" spans="1:1" x14ac:dyDescent="0.3">
      <c r="A335" t="s">
        <v>341</v>
      </c>
    </row>
    <row r="336" spans="1:1" x14ac:dyDescent="0.3">
      <c r="A336" t="s">
        <v>342</v>
      </c>
    </row>
    <row r="337" spans="1:1" x14ac:dyDescent="0.3">
      <c r="A337" t="s">
        <v>343</v>
      </c>
    </row>
    <row r="338" spans="1:1" x14ac:dyDescent="0.3">
      <c r="A338" t="s">
        <v>344</v>
      </c>
    </row>
    <row r="339" spans="1:1" x14ac:dyDescent="0.3">
      <c r="A339" t="s">
        <v>345</v>
      </c>
    </row>
    <row r="340" spans="1:1" x14ac:dyDescent="0.3">
      <c r="A340" t="s">
        <v>346</v>
      </c>
    </row>
    <row r="341" spans="1:1" x14ac:dyDescent="0.3">
      <c r="A341" t="s">
        <v>347</v>
      </c>
    </row>
    <row r="342" spans="1:1" x14ac:dyDescent="0.3">
      <c r="A342" t="s">
        <v>348</v>
      </c>
    </row>
    <row r="343" spans="1:1" x14ac:dyDescent="0.3">
      <c r="A343" t="s">
        <v>349</v>
      </c>
    </row>
    <row r="344" spans="1:1" x14ac:dyDescent="0.3">
      <c r="A344" t="s">
        <v>350</v>
      </c>
    </row>
    <row r="345" spans="1:1" x14ac:dyDescent="0.3">
      <c r="A345" t="s">
        <v>351</v>
      </c>
    </row>
    <row r="346" spans="1:1" x14ac:dyDescent="0.3">
      <c r="A346" t="s">
        <v>352</v>
      </c>
    </row>
    <row r="347" spans="1:1" x14ac:dyDescent="0.3">
      <c r="A347" t="s">
        <v>353</v>
      </c>
    </row>
    <row r="348" spans="1:1" x14ac:dyDescent="0.3">
      <c r="A348" t="s">
        <v>354</v>
      </c>
    </row>
    <row r="349" spans="1:1" x14ac:dyDescent="0.3">
      <c r="A349" t="s">
        <v>355</v>
      </c>
    </row>
    <row r="350" spans="1:1" x14ac:dyDescent="0.3">
      <c r="A350" t="s">
        <v>356</v>
      </c>
    </row>
    <row r="351" spans="1:1" x14ac:dyDescent="0.3">
      <c r="A351" t="s">
        <v>357</v>
      </c>
    </row>
    <row r="352" spans="1:1" x14ac:dyDescent="0.3">
      <c r="A352" t="s">
        <v>358</v>
      </c>
    </row>
    <row r="353" spans="1:1" x14ac:dyDescent="0.3">
      <c r="A353" t="s">
        <v>359</v>
      </c>
    </row>
    <row r="354" spans="1:1" x14ac:dyDescent="0.3">
      <c r="A354" t="s">
        <v>360</v>
      </c>
    </row>
    <row r="355" spans="1:1" x14ac:dyDescent="0.3">
      <c r="A355" t="s">
        <v>361</v>
      </c>
    </row>
    <row r="356" spans="1:1" x14ac:dyDescent="0.3">
      <c r="A356" t="s">
        <v>362</v>
      </c>
    </row>
    <row r="357" spans="1:1" x14ac:dyDescent="0.3">
      <c r="A357" t="s">
        <v>363</v>
      </c>
    </row>
    <row r="358" spans="1:1" x14ac:dyDescent="0.3">
      <c r="A358" t="s">
        <v>364</v>
      </c>
    </row>
    <row r="359" spans="1:1" x14ac:dyDescent="0.3">
      <c r="A359" t="s">
        <v>365</v>
      </c>
    </row>
    <row r="360" spans="1:1" x14ac:dyDescent="0.3">
      <c r="A360" t="s">
        <v>366</v>
      </c>
    </row>
    <row r="361" spans="1:1" x14ac:dyDescent="0.3">
      <c r="A361" t="s">
        <v>367</v>
      </c>
    </row>
    <row r="362" spans="1:1" x14ac:dyDescent="0.3">
      <c r="A362" t="s">
        <v>368</v>
      </c>
    </row>
    <row r="363" spans="1:1" x14ac:dyDescent="0.3">
      <c r="A363" t="s">
        <v>369</v>
      </c>
    </row>
    <row r="364" spans="1:1" x14ac:dyDescent="0.3">
      <c r="A364" t="s">
        <v>370</v>
      </c>
    </row>
    <row r="365" spans="1:1" x14ac:dyDescent="0.3">
      <c r="A365" t="s">
        <v>371</v>
      </c>
    </row>
    <row r="366" spans="1:1" x14ac:dyDescent="0.3">
      <c r="A366" t="s">
        <v>372</v>
      </c>
    </row>
    <row r="367" spans="1:1" x14ac:dyDescent="0.3">
      <c r="A367" t="s">
        <v>373</v>
      </c>
    </row>
    <row r="368" spans="1:1" x14ac:dyDescent="0.3">
      <c r="A368" t="s">
        <v>374</v>
      </c>
    </row>
    <row r="369" spans="1:1" x14ac:dyDescent="0.3">
      <c r="A369" t="s">
        <v>375</v>
      </c>
    </row>
    <row r="370" spans="1:1" x14ac:dyDescent="0.3">
      <c r="A370" t="s">
        <v>376</v>
      </c>
    </row>
    <row r="371" spans="1:1" x14ac:dyDescent="0.3">
      <c r="A371" t="s">
        <v>377</v>
      </c>
    </row>
    <row r="372" spans="1:1" x14ac:dyDescent="0.3">
      <c r="A372" t="s">
        <v>378</v>
      </c>
    </row>
    <row r="373" spans="1:1" x14ac:dyDescent="0.3">
      <c r="A373" t="s">
        <v>379</v>
      </c>
    </row>
    <row r="374" spans="1:1" x14ac:dyDescent="0.3">
      <c r="A374" t="s">
        <v>380</v>
      </c>
    </row>
    <row r="375" spans="1:1" x14ac:dyDescent="0.3">
      <c r="A375" t="s">
        <v>381</v>
      </c>
    </row>
    <row r="376" spans="1:1" x14ac:dyDescent="0.3">
      <c r="A376" t="s">
        <v>382</v>
      </c>
    </row>
    <row r="377" spans="1:1" x14ac:dyDescent="0.3">
      <c r="A377" t="s">
        <v>383</v>
      </c>
    </row>
    <row r="378" spans="1:1" x14ac:dyDescent="0.3">
      <c r="A378" t="s">
        <v>384</v>
      </c>
    </row>
    <row r="379" spans="1:1" x14ac:dyDescent="0.3">
      <c r="A379" t="s">
        <v>385</v>
      </c>
    </row>
    <row r="380" spans="1:1" x14ac:dyDescent="0.3">
      <c r="A380" t="s">
        <v>386</v>
      </c>
    </row>
    <row r="381" spans="1:1" x14ac:dyDescent="0.3">
      <c r="A381" t="s">
        <v>387</v>
      </c>
    </row>
    <row r="382" spans="1:1" x14ac:dyDescent="0.3">
      <c r="A382" t="s">
        <v>388</v>
      </c>
    </row>
    <row r="383" spans="1:1" x14ac:dyDescent="0.3">
      <c r="A383" t="s">
        <v>389</v>
      </c>
    </row>
    <row r="384" spans="1:1" x14ac:dyDescent="0.3">
      <c r="A384" t="s">
        <v>390</v>
      </c>
    </row>
    <row r="385" spans="1:1" x14ac:dyDescent="0.3">
      <c r="A385" t="s">
        <v>391</v>
      </c>
    </row>
    <row r="386" spans="1:1" x14ac:dyDescent="0.3">
      <c r="A386" t="s">
        <v>392</v>
      </c>
    </row>
    <row r="387" spans="1:1" x14ac:dyDescent="0.3">
      <c r="A387" t="s">
        <v>393</v>
      </c>
    </row>
    <row r="388" spans="1:1" x14ac:dyDescent="0.3">
      <c r="A388" t="s">
        <v>394</v>
      </c>
    </row>
    <row r="389" spans="1:1" x14ac:dyDescent="0.3">
      <c r="A389" t="s">
        <v>395</v>
      </c>
    </row>
    <row r="390" spans="1:1" x14ac:dyDescent="0.3">
      <c r="A390" t="s">
        <v>396</v>
      </c>
    </row>
    <row r="391" spans="1:1" x14ac:dyDescent="0.3">
      <c r="A391" t="s">
        <v>397</v>
      </c>
    </row>
    <row r="392" spans="1:1" x14ac:dyDescent="0.3">
      <c r="A392" t="s">
        <v>398</v>
      </c>
    </row>
    <row r="393" spans="1:1" x14ac:dyDescent="0.3">
      <c r="A393" t="s">
        <v>399</v>
      </c>
    </row>
    <row r="394" spans="1:1" x14ac:dyDescent="0.3">
      <c r="A394" t="s">
        <v>400</v>
      </c>
    </row>
    <row r="395" spans="1:1" x14ac:dyDescent="0.3">
      <c r="A395" t="s">
        <v>401</v>
      </c>
    </row>
    <row r="396" spans="1:1" x14ac:dyDescent="0.3">
      <c r="A396" t="s">
        <v>402</v>
      </c>
    </row>
    <row r="397" spans="1:1" x14ac:dyDescent="0.3">
      <c r="A397" t="s">
        <v>403</v>
      </c>
    </row>
    <row r="398" spans="1:1" x14ac:dyDescent="0.3">
      <c r="A398" t="s">
        <v>404</v>
      </c>
    </row>
    <row r="399" spans="1:1" x14ac:dyDescent="0.3">
      <c r="A399" t="s">
        <v>405</v>
      </c>
    </row>
    <row r="400" spans="1:1" x14ac:dyDescent="0.3">
      <c r="A400" t="s">
        <v>406</v>
      </c>
    </row>
    <row r="401" spans="1:1" x14ac:dyDescent="0.3">
      <c r="A401" t="s">
        <v>407</v>
      </c>
    </row>
    <row r="402" spans="1:1" x14ac:dyDescent="0.3">
      <c r="A402" t="s">
        <v>408</v>
      </c>
    </row>
    <row r="403" spans="1:1" x14ac:dyDescent="0.3">
      <c r="A403" t="s">
        <v>409</v>
      </c>
    </row>
    <row r="404" spans="1:1" x14ac:dyDescent="0.3">
      <c r="A404" t="s">
        <v>410</v>
      </c>
    </row>
    <row r="405" spans="1:1" x14ac:dyDescent="0.3">
      <c r="A405" t="s">
        <v>411</v>
      </c>
    </row>
    <row r="406" spans="1:1" x14ac:dyDescent="0.3">
      <c r="A406" t="s">
        <v>412</v>
      </c>
    </row>
    <row r="407" spans="1:1" x14ac:dyDescent="0.3">
      <c r="A407" t="s">
        <v>413</v>
      </c>
    </row>
    <row r="408" spans="1:1" x14ac:dyDescent="0.3">
      <c r="A408" t="s">
        <v>414</v>
      </c>
    </row>
    <row r="409" spans="1:1" x14ac:dyDescent="0.3">
      <c r="A409" t="s">
        <v>415</v>
      </c>
    </row>
    <row r="410" spans="1:1" x14ac:dyDescent="0.3">
      <c r="A410" t="s">
        <v>416</v>
      </c>
    </row>
    <row r="411" spans="1:1" x14ac:dyDescent="0.3">
      <c r="A411" t="s">
        <v>417</v>
      </c>
    </row>
    <row r="412" spans="1:1" x14ac:dyDescent="0.3">
      <c r="A412" t="s">
        <v>418</v>
      </c>
    </row>
    <row r="413" spans="1:1" x14ac:dyDescent="0.3">
      <c r="A413" t="s">
        <v>419</v>
      </c>
    </row>
    <row r="414" spans="1:1" x14ac:dyDescent="0.3">
      <c r="A414" t="s">
        <v>420</v>
      </c>
    </row>
    <row r="415" spans="1:1" x14ac:dyDescent="0.3">
      <c r="A415" t="s">
        <v>421</v>
      </c>
    </row>
    <row r="416" spans="1:1" x14ac:dyDescent="0.3">
      <c r="A416" t="s">
        <v>422</v>
      </c>
    </row>
    <row r="417" spans="1:1" x14ac:dyDescent="0.3">
      <c r="A417" t="s">
        <v>423</v>
      </c>
    </row>
    <row r="418" spans="1:1" x14ac:dyDescent="0.3">
      <c r="A418" t="s">
        <v>424</v>
      </c>
    </row>
    <row r="419" spans="1:1" x14ac:dyDescent="0.3">
      <c r="A419" t="s">
        <v>425</v>
      </c>
    </row>
    <row r="420" spans="1:1" x14ac:dyDescent="0.3">
      <c r="A420" t="s">
        <v>426</v>
      </c>
    </row>
    <row r="421" spans="1:1" x14ac:dyDescent="0.3">
      <c r="A421" t="s">
        <v>427</v>
      </c>
    </row>
    <row r="422" spans="1:1" x14ac:dyDescent="0.3">
      <c r="A422" t="s">
        <v>428</v>
      </c>
    </row>
    <row r="423" spans="1:1" x14ac:dyDescent="0.3">
      <c r="A423" t="s">
        <v>429</v>
      </c>
    </row>
    <row r="424" spans="1:1" x14ac:dyDescent="0.3">
      <c r="A424" t="s">
        <v>430</v>
      </c>
    </row>
    <row r="425" spans="1:1" x14ac:dyDescent="0.3">
      <c r="A425" t="s">
        <v>431</v>
      </c>
    </row>
    <row r="426" spans="1:1" x14ac:dyDescent="0.3">
      <c r="A426" t="s">
        <v>432</v>
      </c>
    </row>
    <row r="427" spans="1:1" x14ac:dyDescent="0.3">
      <c r="A427" t="s">
        <v>433</v>
      </c>
    </row>
    <row r="428" spans="1:1" x14ac:dyDescent="0.3">
      <c r="A428" t="s">
        <v>434</v>
      </c>
    </row>
    <row r="429" spans="1:1" x14ac:dyDescent="0.3">
      <c r="A429" t="s">
        <v>435</v>
      </c>
    </row>
    <row r="430" spans="1:1" x14ac:dyDescent="0.3">
      <c r="A430" t="s">
        <v>436</v>
      </c>
    </row>
    <row r="431" spans="1:1" x14ac:dyDescent="0.3">
      <c r="A431" t="s">
        <v>437</v>
      </c>
    </row>
    <row r="432" spans="1:1" x14ac:dyDescent="0.3">
      <c r="A432" t="s">
        <v>438</v>
      </c>
    </row>
    <row r="433" spans="1:1" x14ac:dyDescent="0.3">
      <c r="A433" t="s">
        <v>439</v>
      </c>
    </row>
    <row r="434" spans="1:1" x14ac:dyDescent="0.3">
      <c r="A434" t="s">
        <v>440</v>
      </c>
    </row>
    <row r="435" spans="1:1" x14ac:dyDescent="0.3">
      <c r="A435" t="s">
        <v>441</v>
      </c>
    </row>
    <row r="436" spans="1:1" x14ac:dyDescent="0.3">
      <c r="A436" t="s">
        <v>442</v>
      </c>
    </row>
    <row r="437" spans="1:1" x14ac:dyDescent="0.3">
      <c r="A437" t="s">
        <v>443</v>
      </c>
    </row>
    <row r="438" spans="1:1" x14ac:dyDescent="0.3">
      <c r="A438" t="s">
        <v>444</v>
      </c>
    </row>
    <row r="439" spans="1:1" x14ac:dyDescent="0.3">
      <c r="A439" t="s">
        <v>445</v>
      </c>
    </row>
    <row r="440" spans="1:1" x14ac:dyDescent="0.3">
      <c r="A440" t="s">
        <v>446</v>
      </c>
    </row>
    <row r="441" spans="1:1" x14ac:dyDescent="0.3">
      <c r="A441" t="s">
        <v>447</v>
      </c>
    </row>
    <row r="442" spans="1:1" x14ac:dyDescent="0.3">
      <c r="A442" t="s">
        <v>448</v>
      </c>
    </row>
    <row r="443" spans="1:1" x14ac:dyDescent="0.3">
      <c r="A443" t="s">
        <v>449</v>
      </c>
    </row>
    <row r="444" spans="1:1" x14ac:dyDescent="0.3">
      <c r="A444" t="s">
        <v>450</v>
      </c>
    </row>
    <row r="445" spans="1:1" x14ac:dyDescent="0.3">
      <c r="A445" t="s">
        <v>451</v>
      </c>
    </row>
    <row r="446" spans="1:1" x14ac:dyDescent="0.3">
      <c r="A446" t="s">
        <v>452</v>
      </c>
    </row>
    <row r="447" spans="1:1" x14ac:dyDescent="0.3">
      <c r="A447" t="s">
        <v>453</v>
      </c>
    </row>
    <row r="448" spans="1:1" x14ac:dyDescent="0.3">
      <c r="A448" t="s">
        <v>454</v>
      </c>
    </row>
    <row r="449" spans="1:1" x14ac:dyDescent="0.3">
      <c r="A449" t="s">
        <v>455</v>
      </c>
    </row>
    <row r="450" spans="1:1" x14ac:dyDescent="0.3">
      <c r="A450" t="s">
        <v>456</v>
      </c>
    </row>
    <row r="451" spans="1:1" x14ac:dyDescent="0.3">
      <c r="A451" t="s">
        <v>457</v>
      </c>
    </row>
    <row r="452" spans="1:1" x14ac:dyDescent="0.3">
      <c r="A452" t="s">
        <v>458</v>
      </c>
    </row>
    <row r="453" spans="1:1" x14ac:dyDescent="0.3">
      <c r="A453" t="s">
        <v>459</v>
      </c>
    </row>
    <row r="454" spans="1:1" x14ac:dyDescent="0.3">
      <c r="A454" t="s">
        <v>460</v>
      </c>
    </row>
    <row r="455" spans="1:1" x14ac:dyDescent="0.3">
      <c r="A455" t="s">
        <v>461</v>
      </c>
    </row>
    <row r="456" spans="1:1" x14ac:dyDescent="0.3">
      <c r="A456" t="s">
        <v>462</v>
      </c>
    </row>
    <row r="457" spans="1:1" x14ac:dyDescent="0.3">
      <c r="A457" t="s">
        <v>463</v>
      </c>
    </row>
    <row r="458" spans="1:1" x14ac:dyDescent="0.3">
      <c r="A458" t="s">
        <v>464</v>
      </c>
    </row>
    <row r="459" spans="1:1" x14ac:dyDescent="0.3">
      <c r="A459" t="s">
        <v>465</v>
      </c>
    </row>
    <row r="460" spans="1:1" x14ac:dyDescent="0.3">
      <c r="A460" t="s">
        <v>466</v>
      </c>
    </row>
    <row r="461" spans="1:1" x14ac:dyDescent="0.3">
      <c r="A461" t="s">
        <v>467</v>
      </c>
    </row>
    <row r="462" spans="1:1" x14ac:dyDescent="0.3">
      <c r="A462" t="s">
        <v>468</v>
      </c>
    </row>
    <row r="463" spans="1:1" x14ac:dyDescent="0.3">
      <c r="A463" t="s">
        <v>469</v>
      </c>
    </row>
    <row r="464" spans="1:1" x14ac:dyDescent="0.3">
      <c r="A464" t="s">
        <v>470</v>
      </c>
    </row>
    <row r="465" spans="1:1" x14ac:dyDescent="0.3">
      <c r="A465" t="s">
        <v>471</v>
      </c>
    </row>
    <row r="466" spans="1:1" x14ac:dyDescent="0.3">
      <c r="A466" t="s">
        <v>472</v>
      </c>
    </row>
    <row r="467" spans="1:1" x14ac:dyDescent="0.3">
      <c r="A467" t="s">
        <v>473</v>
      </c>
    </row>
    <row r="468" spans="1:1" x14ac:dyDescent="0.3">
      <c r="A468" t="s">
        <v>474</v>
      </c>
    </row>
    <row r="469" spans="1:1" x14ac:dyDescent="0.3">
      <c r="A469" t="s">
        <v>475</v>
      </c>
    </row>
    <row r="470" spans="1:1" x14ac:dyDescent="0.3">
      <c r="A470" t="s">
        <v>476</v>
      </c>
    </row>
    <row r="471" spans="1:1" x14ac:dyDescent="0.3">
      <c r="A471" t="s">
        <v>477</v>
      </c>
    </row>
    <row r="472" spans="1:1" x14ac:dyDescent="0.3">
      <c r="A472" t="s">
        <v>478</v>
      </c>
    </row>
    <row r="473" spans="1:1" x14ac:dyDescent="0.3">
      <c r="A473" t="s">
        <v>479</v>
      </c>
    </row>
    <row r="474" spans="1:1" x14ac:dyDescent="0.3">
      <c r="A474" t="s">
        <v>480</v>
      </c>
    </row>
    <row r="475" spans="1:1" x14ac:dyDescent="0.3">
      <c r="A475" t="s">
        <v>481</v>
      </c>
    </row>
    <row r="476" spans="1:1" x14ac:dyDescent="0.3">
      <c r="A476" t="s">
        <v>482</v>
      </c>
    </row>
    <row r="477" spans="1:1" x14ac:dyDescent="0.3">
      <c r="A477" t="s">
        <v>483</v>
      </c>
    </row>
    <row r="478" spans="1:1" x14ac:dyDescent="0.3">
      <c r="A478" t="s">
        <v>484</v>
      </c>
    </row>
    <row r="479" spans="1:1" x14ac:dyDescent="0.3">
      <c r="A479" t="s">
        <v>485</v>
      </c>
    </row>
    <row r="480" spans="1:1" x14ac:dyDescent="0.3">
      <c r="A480" t="s">
        <v>486</v>
      </c>
    </row>
    <row r="481" spans="1:1" x14ac:dyDescent="0.3">
      <c r="A481" t="s">
        <v>487</v>
      </c>
    </row>
    <row r="482" spans="1:1" x14ac:dyDescent="0.3">
      <c r="A482" t="s">
        <v>488</v>
      </c>
    </row>
    <row r="483" spans="1:1" x14ac:dyDescent="0.3">
      <c r="A483" t="s">
        <v>489</v>
      </c>
    </row>
    <row r="484" spans="1:1" x14ac:dyDescent="0.3">
      <c r="A484" t="s">
        <v>490</v>
      </c>
    </row>
    <row r="485" spans="1:1" x14ac:dyDescent="0.3">
      <c r="A485" t="s">
        <v>491</v>
      </c>
    </row>
    <row r="486" spans="1:1" x14ac:dyDescent="0.3">
      <c r="A486" t="s">
        <v>492</v>
      </c>
    </row>
    <row r="487" spans="1:1" x14ac:dyDescent="0.3">
      <c r="A487" t="s">
        <v>493</v>
      </c>
    </row>
    <row r="488" spans="1:1" x14ac:dyDescent="0.3">
      <c r="A488" t="s">
        <v>494</v>
      </c>
    </row>
    <row r="489" spans="1:1" x14ac:dyDescent="0.3">
      <c r="A489" t="s">
        <v>495</v>
      </c>
    </row>
    <row r="490" spans="1:1" x14ac:dyDescent="0.3">
      <c r="A490" t="s">
        <v>496</v>
      </c>
    </row>
    <row r="491" spans="1:1" x14ac:dyDescent="0.3">
      <c r="A491" t="s">
        <v>497</v>
      </c>
    </row>
    <row r="492" spans="1:1" x14ac:dyDescent="0.3">
      <c r="A492" t="s">
        <v>498</v>
      </c>
    </row>
    <row r="493" spans="1:1" x14ac:dyDescent="0.3">
      <c r="A493" t="s">
        <v>499</v>
      </c>
    </row>
    <row r="494" spans="1:1" x14ac:dyDescent="0.3">
      <c r="A494" t="s">
        <v>500</v>
      </c>
    </row>
    <row r="495" spans="1:1" x14ac:dyDescent="0.3">
      <c r="A495" t="s">
        <v>501</v>
      </c>
    </row>
    <row r="496" spans="1:1" x14ac:dyDescent="0.3">
      <c r="A496" t="s">
        <v>502</v>
      </c>
    </row>
    <row r="497" spans="1:1" x14ac:dyDescent="0.3">
      <c r="A497" t="s">
        <v>503</v>
      </c>
    </row>
    <row r="498" spans="1:1" x14ac:dyDescent="0.3">
      <c r="A498" t="s">
        <v>504</v>
      </c>
    </row>
    <row r="499" spans="1:1" x14ac:dyDescent="0.3">
      <c r="A499" t="s">
        <v>505</v>
      </c>
    </row>
    <row r="500" spans="1:1" x14ac:dyDescent="0.3">
      <c r="A500" t="s">
        <v>506</v>
      </c>
    </row>
    <row r="501" spans="1:1" x14ac:dyDescent="0.3">
      <c r="A501" t="s">
        <v>507</v>
      </c>
    </row>
    <row r="502" spans="1:1" x14ac:dyDescent="0.3">
      <c r="A502" t="s">
        <v>508</v>
      </c>
    </row>
    <row r="503" spans="1:1" x14ac:dyDescent="0.3">
      <c r="A503" t="s">
        <v>509</v>
      </c>
    </row>
    <row r="504" spans="1:1" x14ac:dyDescent="0.3">
      <c r="A504" t="s">
        <v>510</v>
      </c>
    </row>
    <row r="505" spans="1:1" x14ac:dyDescent="0.3">
      <c r="A505" t="s">
        <v>511</v>
      </c>
    </row>
    <row r="506" spans="1:1" x14ac:dyDescent="0.3">
      <c r="A506" t="s">
        <v>512</v>
      </c>
    </row>
    <row r="507" spans="1:1" x14ac:dyDescent="0.3">
      <c r="A507" t="s">
        <v>513</v>
      </c>
    </row>
    <row r="508" spans="1:1" x14ac:dyDescent="0.3">
      <c r="A508" t="s">
        <v>514</v>
      </c>
    </row>
    <row r="509" spans="1:1" x14ac:dyDescent="0.3">
      <c r="A509" t="s">
        <v>515</v>
      </c>
    </row>
    <row r="510" spans="1:1" x14ac:dyDescent="0.3">
      <c r="A510" t="s">
        <v>516</v>
      </c>
    </row>
    <row r="511" spans="1:1" x14ac:dyDescent="0.3">
      <c r="A511" t="s">
        <v>517</v>
      </c>
    </row>
    <row r="512" spans="1:1" x14ac:dyDescent="0.3">
      <c r="A512" t="s">
        <v>518</v>
      </c>
    </row>
    <row r="513" spans="1:1" x14ac:dyDescent="0.3">
      <c r="A513" t="s">
        <v>519</v>
      </c>
    </row>
    <row r="514" spans="1:1" x14ac:dyDescent="0.3">
      <c r="A514" t="s">
        <v>520</v>
      </c>
    </row>
    <row r="515" spans="1:1" x14ac:dyDescent="0.3">
      <c r="A515" t="s">
        <v>521</v>
      </c>
    </row>
    <row r="516" spans="1:1" x14ac:dyDescent="0.3">
      <c r="A516" t="s">
        <v>522</v>
      </c>
    </row>
    <row r="517" spans="1:1" x14ac:dyDescent="0.3">
      <c r="A517" t="s">
        <v>523</v>
      </c>
    </row>
    <row r="518" spans="1:1" x14ac:dyDescent="0.3">
      <c r="A518" t="s">
        <v>524</v>
      </c>
    </row>
    <row r="519" spans="1:1" x14ac:dyDescent="0.3">
      <c r="A519" t="s">
        <v>525</v>
      </c>
    </row>
    <row r="520" spans="1:1" x14ac:dyDescent="0.3">
      <c r="A520" t="s">
        <v>526</v>
      </c>
    </row>
    <row r="521" spans="1:1" x14ac:dyDescent="0.3">
      <c r="A521" t="s">
        <v>527</v>
      </c>
    </row>
    <row r="522" spans="1:1" x14ac:dyDescent="0.3">
      <c r="A522" t="s">
        <v>528</v>
      </c>
    </row>
    <row r="523" spans="1:1" x14ac:dyDescent="0.3">
      <c r="A523" t="s">
        <v>529</v>
      </c>
    </row>
    <row r="524" spans="1:1" x14ac:dyDescent="0.3">
      <c r="A524" t="s">
        <v>530</v>
      </c>
    </row>
    <row r="525" spans="1:1" x14ac:dyDescent="0.3">
      <c r="A525" t="s">
        <v>531</v>
      </c>
    </row>
    <row r="526" spans="1:1" x14ac:dyDescent="0.3">
      <c r="A526" t="s">
        <v>532</v>
      </c>
    </row>
    <row r="527" spans="1:1" x14ac:dyDescent="0.3">
      <c r="A527" t="s">
        <v>533</v>
      </c>
    </row>
    <row r="528" spans="1:1" x14ac:dyDescent="0.3">
      <c r="A528" t="s">
        <v>534</v>
      </c>
    </row>
    <row r="529" spans="1:1" x14ac:dyDescent="0.3">
      <c r="A529" t="s">
        <v>535</v>
      </c>
    </row>
    <row r="530" spans="1:1" x14ac:dyDescent="0.3">
      <c r="A530" t="s">
        <v>536</v>
      </c>
    </row>
    <row r="531" spans="1:1" x14ac:dyDescent="0.3">
      <c r="A531" t="s">
        <v>537</v>
      </c>
    </row>
    <row r="532" spans="1:1" x14ac:dyDescent="0.3">
      <c r="A532" t="s">
        <v>538</v>
      </c>
    </row>
    <row r="533" spans="1:1" x14ac:dyDescent="0.3">
      <c r="A533" t="s">
        <v>539</v>
      </c>
    </row>
    <row r="534" spans="1:1" x14ac:dyDescent="0.3">
      <c r="A534" t="s">
        <v>540</v>
      </c>
    </row>
    <row r="535" spans="1:1" x14ac:dyDescent="0.3">
      <c r="A535" t="s">
        <v>541</v>
      </c>
    </row>
    <row r="536" spans="1:1" x14ac:dyDescent="0.3">
      <c r="A536" t="s">
        <v>542</v>
      </c>
    </row>
    <row r="537" spans="1:1" x14ac:dyDescent="0.3">
      <c r="A537" t="s">
        <v>543</v>
      </c>
    </row>
    <row r="538" spans="1:1" x14ac:dyDescent="0.3">
      <c r="A538" t="s">
        <v>544</v>
      </c>
    </row>
    <row r="539" spans="1:1" x14ac:dyDescent="0.3">
      <c r="A539" t="s">
        <v>545</v>
      </c>
    </row>
    <row r="540" spans="1:1" x14ac:dyDescent="0.3">
      <c r="A540" t="s">
        <v>546</v>
      </c>
    </row>
    <row r="541" spans="1:1" x14ac:dyDescent="0.3">
      <c r="A541" t="s">
        <v>547</v>
      </c>
    </row>
    <row r="542" spans="1:1" x14ac:dyDescent="0.3">
      <c r="A542" t="s">
        <v>548</v>
      </c>
    </row>
    <row r="543" spans="1:1" x14ac:dyDescent="0.3">
      <c r="A543" t="s">
        <v>549</v>
      </c>
    </row>
    <row r="544" spans="1:1" x14ac:dyDescent="0.3">
      <c r="A544" t="s">
        <v>550</v>
      </c>
    </row>
    <row r="545" spans="1:1" x14ac:dyDescent="0.3">
      <c r="A545" t="s">
        <v>551</v>
      </c>
    </row>
    <row r="546" spans="1:1" x14ac:dyDescent="0.3">
      <c r="A546" t="s">
        <v>552</v>
      </c>
    </row>
    <row r="547" spans="1:1" x14ac:dyDescent="0.3">
      <c r="A547" t="s">
        <v>553</v>
      </c>
    </row>
    <row r="548" spans="1:1" x14ac:dyDescent="0.3">
      <c r="A548" t="s">
        <v>554</v>
      </c>
    </row>
    <row r="549" spans="1:1" x14ac:dyDescent="0.3">
      <c r="A549" t="s">
        <v>555</v>
      </c>
    </row>
    <row r="550" spans="1:1" x14ac:dyDescent="0.3">
      <c r="A550" t="s">
        <v>556</v>
      </c>
    </row>
    <row r="551" spans="1:1" x14ac:dyDescent="0.3">
      <c r="A551" t="s">
        <v>557</v>
      </c>
    </row>
    <row r="552" spans="1:1" x14ac:dyDescent="0.3">
      <c r="A552" t="s">
        <v>558</v>
      </c>
    </row>
    <row r="553" spans="1:1" x14ac:dyDescent="0.3">
      <c r="A553" t="s">
        <v>559</v>
      </c>
    </row>
    <row r="554" spans="1:1" x14ac:dyDescent="0.3">
      <c r="A554" t="s">
        <v>560</v>
      </c>
    </row>
    <row r="555" spans="1:1" x14ac:dyDescent="0.3">
      <c r="A555" t="s">
        <v>561</v>
      </c>
    </row>
    <row r="556" spans="1:1" x14ac:dyDescent="0.3">
      <c r="A556" t="s">
        <v>562</v>
      </c>
    </row>
    <row r="557" spans="1:1" x14ac:dyDescent="0.3">
      <c r="A557" t="s">
        <v>563</v>
      </c>
    </row>
    <row r="558" spans="1:1" x14ac:dyDescent="0.3">
      <c r="A558" t="s">
        <v>564</v>
      </c>
    </row>
    <row r="559" spans="1:1" x14ac:dyDescent="0.3">
      <c r="A559" t="s">
        <v>565</v>
      </c>
    </row>
    <row r="560" spans="1:1" x14ac:dyDescent="0.3">
      <c r="A560" t="s">
        <v>566</v>
      </c>
    </row>
    <row r="561" spans="1:1" x14ac:dyDescent="0.3">
      <c r="A561" t="s">
        <v>567</v>
      </c>
    </row>
    <row r="562" spans="1:1" x14ac:dyDescent="0.3">
      <c r="A562" t="s">
        <v>568</v>
      </c>
    </row>
    <row r="563" spans="1:1" x14ac:dyDescent="0.3">
      <c r="A563" t="s">
        <v>569</v>
      </c>
    </row>
    <row r="564" spans="1:1" x14ac:dyDescent="0.3">
      <c r="A564" t="s">
        <v>570</v>
      </c>
    </row>
    <row r="565" spans="1:1" x14ac:dyDescent="0.3">
      <c r="A565" t="s">
        <v>571</v>
      </c>
    </row>
    <row r="566" spans="1:1" x14ac:dyDescent="0.3">
      <c r="A566" t="s">
        <v>572</v>
      </c>
    </row>
    <row r="567" spans="1:1" x14ac:dyDescent="0.3">
      <c r="A567" t="s">
        <v>573</v>
      </c>
    </row>
    <row r="568" spans="1:1" x14ac:dyDescent="0.3">
      <c r="A568" t="s">
        <v>574</v>
      </c>
    </row>
    <row r="569" spans="1:1" x14ac:dyDescent="0.3">
      <c r="A569" t="s">
        <v>575</v>
      </c>
    </row>
    <row r="570" spans="1:1" x14ac:dyDescent="0.3">
      <c r="A570" t="s">
        <v>576</v>
      </c>
    </row>
    <row r="571" spans="1:1" x14ac:dyDescent="0.3">
      <c r="A571" t="s">
        <v>577</v>
      </c>
    </row>
    <row r="572" spans="1:1" x14ac:dyDescent="0.3">
      <c r="A572" t="s">
        <v>578</v>
      </c>
    </row>
    <row r="573" spans="1:1" x14ac:dyDescent="0.3">
      <c r="A573" t="s">
        <v>579</v>
      </c>
    </row>
    <row r="574" spans="1:1" x14ac:dyDescent="0.3">
      <c r="A574" t="s">
        <v>580</v>
      </c>
    </row>
    <row r="575" spans="1:1" x14ac:dyDescent="0.3">
      <c r="A575" t="s">
        <v>581</v>
      </c>
    </row>
    <row r="576" spans="1:1" x14ac:dyDescent="0.3">
      <c r="A576" t="s">
        <v>582</v>
      </c>
    </row>
    <row r="577" spans="1:1" x14ac:dyDescent="0.3">
      <c r="A577" t="s">
        <v>583</v>
      </c>
    </row>
    <row r="578" spans="1:1" x14ac:dyDescent="0.3">
      <c r="A578" t="s">
        <v>584</v>
      </c>
    </row>
    <row r="579" spans="1:1" x14ac:dyDescent="0.3">
      <c r="A579" t="s">
        <v>585</v>
      </c>
    </row>
    <row r="580" spans="1:1" x14ac:dyDescent="0.3">
      <c r="A580" t="s">
        <v>586</v>
      </c>
    </row>
    <row r="581" spans="1:1" x14ac:dyDescent="0.3">
      <c r="A581" t="s">
        <v>587</v>
      </c>
    </row>
    <row r="582" spans="1:1" x14ac:dyDescent="0.3">
      <c r="A582" t="s">
        <v>588</v>
      </c>
    </row>
    <row r="583" spans="1:1" x14ac:dyDescent="0.3">
      <c r="A583" t="s">
        <v>589</v>
      </c>
    </row>
    <row r="584" spans="1:1" x14ac:dyDescent="0.3">
      <c r="A584" t="s">
        <v>590</v>
      </c>
    </row>
    <row r="585" spans="1:1" x14ac:dyDescent="0.3">
      <c r="A585" t="s">
        <v>591</v>
      </c>
    </row>
    <row r="586" spans="1:1" x14ac:dyDescent="0.3">
      <c r="A586" t="s">
        <v>592</v>
      </c>
    </row>
    <row r="587" spans="1:1" x14ac:dyDescent="0.3">
      <c r="A587" t="s">
        <v>593</v>
      </c>
    </row>
    <row r="588" spans="1:1" x14ac:dyDescent="0.3">
      <c r="A588" t="s">
        <v>594</v>
      </c>
    </row>
    <row r="589" spans="1:1" x14ac:dyDescent="0.3">
      <c r="A589" t="s">
        <v>595</v>
      </c>
    </row>
    <row r="590" spans="1:1" x14ac:dyDescent="0.3">
      <c r="A590" t="s">
        <v>596</v>
      </c>
    </row>
    <row r="591" spans="1:1" x14ac:dyDescent="0.3">
      <c r="A591" t="s">
        <v>597</v>
      </c>
    </row>
    <row r="592" spans="1:1" x14ac:dyDescent="0.3">
      <c r="A592" t="s">
        <v>598</v>
      </c>
    </row>
    <row r="593" spans="1:1" x14ac:dyDescent="0.3">
      <c r="A593" t="s">
        <v>599</v>
      </c>
    </row>
    <row r="594" spans="1:1" x14ac:dyDescent="0.3">
      <c r="A594" t="s">
        <v>600</v>
      </c>
    </row>
    <row r="595" spans="1:1" x14ac:dyDescent="0.3">
      <c r="A595" t="s">
        <v>601</v>
      </c>
    </row>
    <row r="596" spans="1:1" x14ac:dyDescent="0.3">
      <c r="A596" t="s">
        <v>602</v>
      </c>
    </row>
    <row r="597" spans="1:1" x14ac:dyDescent="0.3">
      <c r="A597" t="s">
        <v>603</v>
      </c>
    </row>
    <row r="598" spans="1:1" x14ac:dyDescent="0.3">
      <c r="A598" t="s">
        <v>604</v>
      </c>
    </row>
    <row r="599" spans="1:1" x14ac:dyDescent="0.3">
      <c r="A599" t="s">
        <v>605</v>
      </c>
    </row>
    <row r="600" spans="1:1" x14ac:dyDescent="0.3">
      <c r="A600" t="s">
        <v>606</v>
      </c>
    </row>
    <row r="601" spans="1:1" x14ac:dyDescent="0.3">
      <c r="A601" t="s">
        <v>607</v>
      </c>
    </row>
    <row r="602" spans="1:1" x14ac:dyDescent="0.3">
      <c r="A602" t="s">
        <v>608</v>
      </c>
    </row>
    <row r="603" spans="1:1" x14ac:dyDescent="0.3">
      <c r="A603" t="s">
        <v>609</v>
      </c>
    </row>
    <row r="604" spans="1:1" x14ac:dyDescent="0.3">
      <c r="A604" t="s">
        <v>610</v>
      </c>
    </row>
    <row r="605" spans="1:1" x14ac:dyDescent="0.3">
      <c r="A605" t="s">
        <v>611</v>
      </c>
    </row>
    <row r="606" spans="1:1" x14ac:dyDescent="0.3">
      <c r="A606" t="s">
        <v>612</v>
      </c>
    </row>
    <row r="607" spans="1:1" x14ac:dyDescent="0.3">
      <c r="A607" t="s">
        <v>613</v>
      </c>
    </row>
    <row r="608" spans="1:1" x14ac:dyDescent="0.3">
      <c r="A608" t="s">
        <v>614</v>
      </c>
    </row>
    <row r="609" spans="1:1" x14ac:dyDescent="0.3">
      <c r="A609" t="s">
        <v>615</v>
      </c>
    </row>
    <row r="610" spans="1:1" x14ac:dyDescent="0.3">
      <c r="A610" t="s">
        <v>616</v>
      </c>
    </row>
    <row r="611" spans="1:1" x14ac:dyDescent="0.3">
      <c r="A611" t="s">
        <v>617</v>
      </c>
    </row>
    <row r="612" spans="1:1" x14ac:dyDescent="0.3">
      <c r="A612" t="s">
        <v>618</v>
      </c>
    </row>
    <row r="613" spans="1:1" x14ac:dyDescent="0.3">
      <c r="A613" t="s">
        <v>619</v>
      </c>
    </row>
    <row r="614" spans="1:1" x14ac:dyDescent="0.3">
      <c r="A614" t="s">
        <v>620</v>
      </c>
    </row>
    <row r="615" spans="1:1" x14ac:dyDescent="0.3">
      <c r="A615" t="s">
        <v>621</v>
      </c>
    </row>
    <row r="616" spans="1:1" x14ac:dyDescent="0.3">
      <c r="A616" t="s">
        <v>622</v>
      </c>
    </row>
    <row r="617" spans="1:1" x14ac:dyDescent="0.3">
      <c r="A617" t="s">
        <v>623</v>
      </c>
    </row>
    <row r="618" spans="1:1" x14ac:dyDescent="0.3">
      <c r="A618" t="s">
        <v>624</v>
      </c>
    </row>
    <row r="619" spans="1:1" x14ac:dyDescent="0.3">
      <c r="A619" t="s">
        <v>625</v>
      </c>
    </row>
    <row r="620" spans="1:1" x14ac:dyDescent="0.3">
      <c r="A620" t="s">
        <v>626</v>
      </c>
    </row>
    <row r="621" spans="1:1" x14ac:dyDescent="0.3">
      <c r="A621" t="s">
        <v>627</v>
      </c>
    </row>
    <row r="622" spans="1:1" x14ac:dyDescent="0.3">
      <c r="A622" t="s">
        <v>628</v>
      </c>
    </row>
    <row r="623" spans="1:1" x14ac:dyDescent="0.3">
      <c r="A623" t="s">
        <v>629</v>
      </c>
    </row>
    <row r="624" spans="1:1" x14ac:dyDescent="0.3">
      <c r="A624" t="s">
        <v>630</v>
      </c>
    </row>
    <row r="625" spans="1:1" x14ac:dyDescent="0.3">
      <c r="A625" t="s">
        <v>631</v>
      </c>
    </row>
    <row r="626" spans="1:1" x14ac:dyDescent="0.3">
      <c r="A626" t="s">
        <v>632</v>
      </c>
    </row>
    <row r="627" spans="1:1" x14ac:dyDescent="0.3">
      <c r="A627" t="s">
        <v>633</v>
      </c>
    </row>
    <row r="628" spans="1:1" x14ac:dyDescent="0.3">
      <c r="A628" t="s">
        <v>634</v>
      </c>
    </row>
    <row r="629" spans="1:1" x14ac:dyDescent="0.3">
      <c r="A629" t="s">
        <v>635</v>
      </c>
    </row>
    <row r="630" spans="1:1" x14ac:dyDescent="0.3">
      <c r="A630" t="s">
        <v>636</v>
      </c>
    </row>
    <row r="631" spans="1:1" x14ac:dyDescent="0.3">
      <c r="A631" t="s">
        <v>637</v>
      </c>
    </row>
    <row r="632" spans="1:1" x14ac:dyDescent="0.3">
      <c r="A632" t="s">
        <v>638</v>
      </c>
    </row>
    <row r="633" spans="1:1" x14ac:dyDescent="0.3">
      <c r="A633" t="s">
        <v>639</v>
      </c>
    </row>
    <row r="634" spans="1:1" x14ac:dyDescent="0.3">
      <c r="A634" t="s">
        <v>640</v>
      </c>
    </row>
    <row r="635" spans="1:1" x14ac:dyDescent="0.3">
      <c r="A635" t="s">
        <v>641</v>
      </c>
    </row>
    <row r="636" spans="1:1" x14ac:dyDescent="0.3">
      <c r="A636" t="s">
        <v>642</v>
      </c>
    </row>
    <row r="637" spans="1:1" x14ac:dyDescent="0.3">
      <c r="A637" t="s">
        <v>643</v>
      </c>
    </row>
    <row r="638" spans="1:1" x14ac:dyDescent="0.3">
      <c r="A638" t="s">
        <v>644</v>
      </c>
    </row>
    <row r="639" spans="1:1" x14ac:dyDescent="0.3">
      <c r="A639" t="s">
        <v>645</v>
      </c>
    </row>
    <row r="640" spans="1:1" x14ac:dyDescent="0.3">
      <c r="A640" t="s">
        <v>646</v>
      </c>
    </row>
    <row r="641" spans="1:1" x14ac:dyDescent="0.3">
      <c r="A641" t="s">
        <v>647</v>
      </c>
    </row>
    <row r="642" spans="1:1" x14ac:dyDescent="0.3">
      <c r="A642" t="s">
        <v>648</v>
      </c>
    </row>
    <row r="643" spans="1:1" x14ac:dyDescent="0.3">
      <c r="A643" t="s">
        <v>649</v>
      </c>
    </row>
    <row r="644" spans="1:1" x14ac:dyDescent="0.3">
      <c r="A644" t="s">
        <v>650</v>
      </c>
    </row>
    <row r="645" spans="1:1" x14ac:dyDescent="0.3">
      <c r="A645" t="s">
        <v>651</v>
      </c>
    </row>
    <row r="646" spans="1:1" x14ac:dyDescent="0.3">
      <c r="A646" t="s">
        <v>652</v>
      </c>
    </row>
    <row r="647" spans="1:1" x14ac:dyDescent="0.3">
      <c r="A647" t="s">
        <v>653</v>
      </c>
    </row>
    <row r="648" spans="1:1" x14ac:dyDescent="0.3">
      <c r="A648" t="s">
        <v>654</v>
      </c>
    </row>
    <row r="649" spans="1:1" x14ac:dyDescent="0.3">
      <c r="A649" t="s">
        <v>655</v>
      </c>
    </row>
    <row r="650" spans="1:1" x14ac:dyDescent="0.3">
      <c r="A650" t="s">
        <v>656</v>
      </c>
    </row>
    <row r="651" spans="1:1" x14ac:dyDescent="0.3">
      <c r="A651" t="s">
        <v>657</v>
      </c>
    </row>
    <row r="652" spans="1:1" x14ac:dyDescent="0.3">
      <c r="A652" t="s">
        <v>658</v>
      </c>
    </row>
    <row r="653" spans="1:1" x14ac:dyDescent="0.3">
      <c r="A653" t="s">
        <v>659</v>
      </c>
    </row>
    <row r="654" spans="1:1" x14ac:dyDescent="0.3">
      <c r="A654" t="s">
        <v>660</v>
      </c>
    </row>
    <row r="655" spans="1:1" x14ac:dyDescent="0.3">
      <c r="A655" t="s">
        <v>661</v>
      </c>
    </row>
    <row r="656" spans="1:1" x14ac:dyDescent="0.3">
      <c r="A656" t="s">
        <v>662</v>
      </c>
    </row>
    <row r="657" spans="1:1" x14ac:dyDescent="0.3">
      <c r="A657" t="s">
        <v>663</v>
      </c>
    </row>
    <row r="658" spans="1:1" x14ac:dyDescent="0.3">
      <c r="A658" t="s">
        <v>664</v>
      </c>
    </row>
    <row r="659" spans="1:1" x14ac:dyDescent="0.3">
      <c r="A659" t="s">
        <v>665</v>
      </c>
    </row>
    <row r="660" spans="1:1" x14ac:dyDescent="0.3">
      <c r="A660" t="s">
        <v>666</v>
      </c>
    </row>
    <row r="661" spans="1:1" x14ac:dyDescent="0.3">
      <c r="A661" t="s">
        <v>667</v>
      </c>
    </row>
    <row r="662" spans="1:1" x14ac:dyDescent="0.3">
      <c r="A662" t="s">
        <v>668</v>
      </c>
    </row>
    <row r="663" spans="1:1" x14ac:dyDescent="0.3">
      <c r="A663" t="s">
        <v>669</v>
      </c>
    </row>
    <row r="664" spans="1:1" x14ac:dyDescent="0.3">
      <c r="A664" t="s">
        <v>670</v>
      </c>
    </row>
    <row r="665" spans="1:1" x14ac:dyDescent="0.3">
      <c r="A665" t="s">
        <v>671</v>
      </c>
    </row>
    <row r="666" spans="1:1" x14ac:dyDescent="0.3">
      <c r="A666" t="s">
        <v>672</v>
      </c>
    </row>
    <row r="667" spans="1:1" x14ac:dyDescent="0.3">
      <c r="A667" t="s">
        <v>673</v>
      </c>
    </row>
    <row r="668" spans="1:1" x14ac:dyDescent="0.3">
      <c r="A668" t="s">
        <v>674</v>
      </c>
    </row>
    <row r="669" spans="1:1" x14ac:dyDescent="0.3">
      <c r="A669" t="s">
        <v>675</v>
      </c>
    </row>
    <row r="670" spans="1:1" x14ac:dyDescent="0.3">
      <c r="A670" t="s">
        <v>676</v>
      </c>
    </row>
    <row r="671" spans="1:1" x14ac:dyDescent="0.3">
      <c r="A671" t="s">
        <v>677</v>
      </c>
    </row>
    <row r="672" spans="1:1" x14ac:dyDescent="0.3">
      <c r="A672" t="s">
        <v>678</v>
      </c>
    </row>
    <row r="673" spans="1:1" x14ac:dyDescent="0.3">
      <c r="A673" t="s">
        <v>679</v>
      </c>
    </row>
    <row r="674" spans="1:1" x14ac:dyDescent="0.3">
      <c r="A674" t="s">
        <v>680</v>
      </c>
    </row>
    <row r="675" spans="1:1" x14ac:dyDescent="0.3">
      <c r="A675" t="s">
        <v>681</v>
      </c>
    </row>
    <row r="676" spans="1:1" x14ac:dyDescent="0.3">
      <c r="A676" t="s">
        <v>682</v>
      </c>
    </row>
    <row r="677" spans="1:1" x14ac:dyDescent="0.3">
      <c r="A677" t="s">
        <v>683</v>
      </c>
    </row>
    <row r="678" spans="1:1" x14ac:dyDescent="0.3">
      <c r="A678" t="s">
        <v>684</v>
      </c>
    </row>
    <row r="679" spans="1:1" x14ac:dyDescent="0.3">
      <c r="A679" t="s">
        <v>685</v>
      </c>
    </row>
    <row r="680" spans="1:1" x14ac:dyDescent="0.3">
      <c r="A680" t="s">
        <v>686</v>
      </c>
    </row>
    <row r="681" spans="1:1" x14ac:dyDescent="0.3">
      <c r="A681" t="s">
        <v>687</v>
      </c>
    </row>
    <row r="682" spans="1:1" x14ac:dyDescent="0.3">
      <c r="A682" t="s">
        <v>688</v>
      </c>
    </row>
    <row r="683" spans="1:1" x14ac:dyDescent="0.3">
      <c r="A683" t="s">
        <v>689</v>
      </c>
    </row>
    <row r="684" spans="1:1" x14ac:dyDescent="0.3">
      <c r="A684" t="s">
        <v>690</v>
      </c>
    </row>
    <row r="685" spans="1:1" x14ac:dyDescent="0.3">
      <c r="A685" t="s">
        <v>691</v>
      </c>
    </row>
    <row r="686" spans="1:1" x14ac:dyDescent="0.3">
      <c r="A686" t="s">
        <v>692</v>
      </c>
    </row>
    <row r="687" spans="1:1" x14ac:dyDescent="0.3">
      <c r="A687" t="s">
        <v>693</v>
      </c>
    </row>
    <row r="688" spans="1:1" x14ac:dyDescent="0.3">
      <c r="A688" t="s">
        <v>694</v>
      </c>
    </row>
    <row r="689" spans="1:1" x14ac:dyDescent="0.3">
      <c r="A689" t="s">
        <v>695</v>
      </c>
    </row>
    <row r="690" spans="1:1" x14ac:dyDescent="0.3">
      <c r="A690" t="s">
        <v>696</v>
      </c>
    </row>
    <row r="691" spans="1:1" x14ac:dyDescent="0.3">
      <c r="A691" t="s">
        <v>697</v>
      </c>
    </row>
    <row r="692" spans="1:1" x14ac:dyDescent="0.3">
      <c r="A692" t="s">
        <v>698</v>
      </c>
    </row>
    <row r="693" spans="1:1" x14ac:dyDescent="0.3">
      <c r="A693" t="s">
        <v>699</v>
      </c>
    </row>
    <row r="694" spans="1:1" x14ac:dyDescent="0.3">
      <c r="A694" t="s">
        <v>700</v>
      </c>
    </row>
    <row r="695" spans="1:1" x14ac:dyDescent="0.3">
      <c r="A695" t="s">
        <v>701</v>
      </c>
    </row>
    <row r="696" spans="1:1" x14ac:dyDescent="0.3">
      <c r="A696" t="s">
        <v>702</v>
      </c>
    </row>
    <row r="697" spans="1:1" x14ac:dyDescent="0.3">
      <c r="A697" t="s">
        <v>703</v>
      </c>
    </row>
    <row r="698" spans="1:1" x14ac:dyDescent="0.3">
      <c r="A698" t="s">
        <v>704</v>
      </c>
    </row>
    <row r="699" spans="1:1" x14ac:dyDescent="0.3">
      <c r="A699" t="s">
        <v>705</v>
      </c>
    </row>
    <row r="700" spans="1:1" x14ac:dyDescent="0.3">
      <c r="A700" t="s">
        <v>706</v>
      </c>
    </row>
    <row r="701" spans="1:1" x14ac:dyDescent="0.3">
      <c r="A701" t="s">
        <v>707</v>
      </c>
    </row>
    <row r="702" spans="1:1" x14ac:dyDescent="0.3">
      <c r="A702" t="s">
        <v>708</v>
      </c>
    </row>
    <row r="703" spans="1:1" x14ac:dyDescent="0.3">
      <c r="A703" t="s">
        <v>709</v>
      </c>
    </row>
    <row r="704" spans="1:1" x14ac:dyDescent="0.3">
      <c r="A704" t="s">
        <v>710</v>
      </c>
    </row>
    <row r="705" spans="1:1" x14ac:dyDescent="0.3">
      <c r="A705" t="s">
        <v>711</v>
      </c>
    </row>
    <row r="706" spans="1:1" x14ac:dyDescent="0.3">
      <c r="A706" t="s">
        <v>712</v>
      </c>
    </row>
    <row r="707" spans="1:1" x14ac:dyDescent="0.3">
      <c r="A707" t="s">
        <v>713</v>
      </c>
    </row>
    <row r="708" spans="1:1" x14ac:dyDescent="0.3">
      <c r="A708" t="s">
        <v>714</v>
      </c>
    </row>
    <row r="709" spans="1:1" x14ac:dyDescent="0.3">
      <c r="A709" t="s">
        <v>715</v>
      </c>
    </row>
    <row r="710" spans="1:1" x14ac:dyDescent="0.3">
      <c r="A710" t="s">
        <v>716</v>
      </c>
    </row>
    <row r="711" spans="1:1" x14ac:dyDescent="0.3">
      <c r="A711" t="s">
        <v>717</v>
      </c>
    </row>
    <row r="712" spans="1:1" x14ac:dyDescent="0.3">
      <c r="A712" t="s">
        <v>718</v>
      </c>
    </row>
    <row r="713" spans="1:1" x14ac:dyDescent="0.3">
      <c r="A713" t="s">
        <v>719</v>
      </c>
    </row>
    <row r="714" spans="1:1" x14ac:dyDescent="0.3">
      <c r="A714" t="s">
        <v>720</v>
      </c>
    </row>
    <row r="715" spans="1:1" x14ac:dyDescent="0.3">
      <c r="A715" t="s">
        <v>721</v>
      </c>
    </row>
    <row r="716" spans="1:1" x14ac:dyDescent="0.3">
      <c r="A716" t="s">
        <v>722</v>
      </c>
    </row>
    <row r="717" spans="1:1" x14ac:dyDescent="0.3">
      <c r="A717" t="s">
        <v>723</v>
      </c>
    </row>
    <row r="718" spans="1:1" x14ac:dyDescent="0.3">
      <c r="A718" t="s">
        <v>724</v>
      </c>
    </row>
    <row r="719" spans="1:1" x14ac:dyDescent="0.3">
      <c r="A719" t="s">
        <v>725</v>
      </c>
    </row>
    <row r="720" spans="1:1" x14ac:dyDescent="0.3">
      <c r="A720" t="s">
        <v>726</v>
      </c>
    </row>
    <row r="721" spans="1:1" x14ac:dyDescent="0.3">
      <c r="A721" t="s">
        <v>727</v>
      </c>
    </row>
    <row r="722" spans="1:1" x14ac:dyDescent="0.3">
      <c r="A722" t="s">
        <v>728</v>
      </c>
    </row>
    <row r="723" spans="1:1" x14ac:dyDescent="0.3">
      <c r="A723" t="s">
        <v>729</v>
      </c>
    </row>
    <row r="724" spans="1:1" x14ac:dyDescent="0.3">
      <c r="A724" t="s">
        <v>730</v>
      </c>
    </row>
    <row r="725" spans="1:1" x14ac:dyDescent="0.3">
      <c r="A725" t="s">
        <v>731</v>
      </c>
    </row>
    <row r="726" spans="1:1" x14ac:dyDescent="0.3">
      <c r="A726" t="s">
        <v>732</v>
      </c>
    </row>
    <row r="727" spans="1:1" x14ac:dyDescent="0.3">
      <c r="A727" t="s">
        <v>733</v>
      </c>
    </row>
    <row r="728" spans="1:1" x14ac:dyDescent="0.3">
      <c r="A728" t="s">
        <v>734</v>
      </c>
    </row>
    <row r="729" spans="1:1" x14ac:dyDescent="0.3">
      <c r="A729" t="s">
        <v>735</v>
      </c>
    </row>
    <row r="730" spans="1:1" x14ac:dyDescent="0.3">
      <c r="A730" t="s">
        <v>736</v>
      </c>
    </row>
    <row r="731" spans="1:1" x14ac:dyDescent="0.3">
      <c r="A731" t="s">
        <v>737</v>
      </c>
    </row>
    <row r="732" spans="1:1" x14ac:dyDescent="0.3">
      <c r="A732" t="s">
        <v>738</v>
      </c>
    </row>
    <row r="733" spans="1:1" x14ac:dyDescent="0.3">
      <c r="A733" t="s">
        <v>739</v>
      </c>
    </row>
    <row r="734" spans="1:1" x14ac:dyDescent="0.3">
      <c r="A734" t="s">
        <v>740</v>
      </c>
    </row>
    <row r="735" spans="1:1" x14ac:dyDescent="0.3">
      <c r="A735" t="s">
        <v>741</v>
      </c>
    </row>
    <row r="736" spans="1:1" x14ac:dyDescent="0.3">
      <c r="A736" t="s">
        <v>742</v>
      </c>
    </row>
    <row r="737" spans="1:1" x14ac:dyDescent="0.3">
      <c r="A737" t="s">
        <v>743</v>
      </c>
    </row>
    <row r="738" spans="1:1" x14ac:dyDescent="0.3">
      <c r="A738" t="s">
        <v>744</v>
      </c>
    </row>
    <row r="739" spans="1:1" x14ac:dyDescent="0.3">
      <c r="A739" t="s">
        <v>745</v>
      </c>
    </row>
    <row r="740" spans="1:1" x14ac:dyDescent="0.3">
      <c r="A740" t="s">
        <v>746</v>
      </c>
    </row>
    <row r="741" spans="1:1" x14ac:dyDescent="0.3">
      <c r="A741" t="s">
        <v>747</v>
      </c>
    </row>
    <row r="742" spans="1:1" x14ac:dyDescent="0.3">
      <c r="A742" t="s">
        <v>748</v>
      </c>
    </row>
    <row r="743" spans="1:1" x14ac:dyDescent="0.3">
      <c r="A743" t="s">
        <v>749</v>
      </c>
    </row>
    <row r="744" spans="1:1" x14ac:dyDescent="0.3">
      <c r="A744" t="s">
        <v>750</v>
      </c>
    </row>
    <row r="745" spans="1:1" x14ac:dyDescent="0.3">
      <c r="A745" t="s">
        <v>751</v>
      </c>
    </row>
    <row r="746" spans="1:1" x14ac:dyDescent="0.3">
      <c r="A746" t="s">
        <v>752</v>
      </c>
    </row>
    <row r="747" spans="1:1" x14ac:dyDescent="0.3">
      <c r="A747" t="s">
        <v>753</v>
      </c>
    </row>
    <row r="748" spans="1:1" x14ac:dyDescent="0.3">
      <c r="A748" t="s">
        <v>754</v>
      </c>
    </row>
    <row r="749" spans="1:1" x14ac:dyDescent="0.3">
      <c r="A749" t="s">
        <v>755</v>
      </c>
    </row>
    <row r="750" spans="1:1" x14ac:dyDescent="0.3">
      <c r="A750" t="s">
        <v>756</v>
      </c>
    </row>
    <row r="751" spans="1:1" x14ac:dyDescent="0.3">
      <c r="A751" t="s">
        <v>757</v>
      </c>
    </row>
    <row r="752" spans="1:1" x14ac:dyDescent="0.3">
      <c r="A752" t="s">
        <v>758</v>
      </c>
    </row>
    <row r="753" spans="1:1" x14ac:dyDescent="0.3">
      <c r="A753" t="s">
        <v>759</v>
      </c>
    </row>
    <row r="754" spans="1:1" x14ac:dyDescent="0.3">
      <c r="A754" t="s">
        <v>760</v>
      </c>
    </row>
    <row r="755" spans="1:1" x14ac:dyDescent="0.3">
      <c r="A755" t="s">
        <v>761</v>
      </c>
    </row>
    <row r="756" spans="1:1" x14ac:dyDescent="0.3">
      <c r="A756" t="s">
        <v>762</v>
      </c>
    </row>
    <row r="757" spans="1:1" x14ac:dyDescent="0.3">
      <c r="A757" t="s">
        <v>763</v>
      </c>
    </row>
    <row r="758" spans="1:1" x14ac:dyDescent="0.3">
      <c r="A758" t="s">
        <v>764</v>
      </c>
    </row>
    <row r="759" spans="1:1" x14ac:dyDescent="0.3">
      <c r="A759" t="s">
        <v>765</v>
      </c>
    </row>
    <row r="760" spans="1:1" x14ac:dyDescent="0.3">
      <c r="A760" t="s">
        <v>766</v>
      </c>
    </row>
    <row r="761" spans="1:1" x14ac:dyDescent="0.3">
      <c r="A761" t="s">
        <v>767</v>
      </c>
    </row>
    <row r="762" spans="1:1" x14ac:dyDescent="0.3">
      <c r="A762" t="s">
        <v>768</v>
      </c>
    </row>
    <row r="763" spans="1:1" x14ac:dyDescent="0.3">
      <c r="A763" t="s">
        <v>769</v>
      </c>
    </row>
    <row r="764" spans="1:1" x14ac:dyDescent="0.3">
      <c r="A764" t="s">
        <v>770</v>
      </c>
    </row>
    <row r="765" spans="1:1" x14ac:dyDescent="0.3">
      <c r="A765" t="s">
        <v>771</v>
      </c>
    </row>
    <row r="766" spans="1:1" x14ac:dyDescent="0.3">
      <c r="A766" t="s">
        <v>772</v>
      </c>
    </row>
    <row r="767" spans="1:1" x14ac:dyDescent="0.3">
      <c r="A767" t="s">
        <v>773</v>
      </c>
    </row>
    <row r="768" spans="1:1" x14ac:dyDescent="0.3">
      <c r="A768" t="s">
        <v>774</v>
      </c>
    </row>
    <row r="769" spans="1:1" x14ac:dyDescent="0.3">
      <c r="A769" t="s">
        <v>775</v>
      </c>
    </row>
    <row r="770" spans="1:1" x14ac:dyDescent="0.3">
      <c r="A770" t="s">
        <v>776</v>
      </c>
    </row>
    <row r="771" spans="1:1" x14ac:dyDescent="0.3">
      <c r="A771" t="s">
        <v>777</v>
      </c>
    </row>
    <row r="772" spans="1:1" x14ac:dyDescent="0.3">
      <c r="A772" t="s">
        <v>778</v>
      </c>
    </row>
    <row r="773" spans="1:1" x14ac:dyDescent="0.3">
      <c r="A773" t="s">
        <v>779</v>
      </c>
    </row>
    <row r="774" spans="1:1" x14ac:dyDescent="0.3">
      <c r="A774" t="s">
        <v>780</v>
      </c>
    </row>
    <row r="775" spans="1:1" x14ac:dyDescent="0.3">
      <c r="A775" t="s">
        <v>781</v>
      </c>
    </row>
    <row r="776" spans="1:1" x14ac:dyDescent="0.3">
      <c r="A776" t="s">
        <v>782</v>
      </c>
    </row>
    <row r="777" spans="1:1" x14ac:dyDescent="0.3">
      <c r="A777" t="s">
        <v>783</v>
      </c>
    </row>
    <row r="778" spans="1:1" x14ac:dyDescent="0.3">
      <c r="A778" t="s">
        <v>784</v>
      </c>
    </row>
    <row r="779" spans="1:1" x14ac:dyDescent="0.3">
      <c r="A779" t="s">
        <v>785</v>
      </c>
    </row>
    <row r="780" spans="1:1" x14ac:dyDescent="0.3">
      <c r="A780" t="s">
        <v>786</v>
      </c>
    </row>
    <row r="781" spans="1:1" x14ac:dyDescent="0.3">
      <c r="A781" t="s">
        <v>787</v>
      </c>
    </row>
    <row r="782" spans="1:1" x14ac:dyDescent="0.3">
      <c r="A782" t="s">
        <v>788</v>
      </c>
    </row>
    <row r="783" spans="1:1" x14ac:dyDescent="0.3">
      <c r="A783" t="s">
        <v>789</v>
      </c>
    </row>
    <row r="784" spans="1:1" x14ac:dyDescent="0.3">
      <c r="A784" t="s">
        <v>790</v>
      </c>
    </row>
    <row r="785" spans="1:1" x14ac:dyDescent="0.3">
      <c r="A785" t="s">
        <v>791</v>
      </c>
    </row>
    <row r="786" spans="1:1" x14ac:dyDescent="0.3">
      <c r="A786" t="s">
        <v>792</v>
      </c>
    </row>
    <row r="787" spans="1:1" x14ac:dyDescent="0.3">
      <c r="A787" t="s">
        <v>793</v>
      </c>
    </row>
    <row r="788" spans="1:1" x14ac:dyDescent="0.3">
      <c r="A788" t="s">
        <v>794</v>
      </c>
    </row>
    <row r="789" spans="1:1" x14ac:dyDescent="0.3">
      <c r="A789" t="s">
        <v>795</v>
      </c>
    </row>
    <row r="790" spans="1:1" x14ac:dyDescent="0.3">
      <c r="A790" t="s">
        <v>796</v>
      </c>
    </row>
    <row r="791" spans="1:1" x14ac:dyDescent="0.3">
      <c r="A791" t="s">
        <v>797</v>
      </c>
    </row>
    <row r="792" spans="1:1" x14ac:dyDescent="0.3">
      <c r="A792" t="s">
        <v>798</v>
      </c>
    </row>
    <row r="793" spans="1:1" x14ac:dyDescent="0.3">
      <c r="A793" t="s">
        <v>799</v>
      </c>
    </row>
    <row r="794" spans="1:1" x14ac:dyDescent="0.3">
      <c r="A794" t="s">
        <v>800</v>
      </c>
    </row>
    <row r="795" spans="1:1" x14ac:dyDescent="0.3">
      <c r="A795" t="s">
        <v>801</v>
      </c>
    </row>
    <row r="796" spans="1:1" x14ac:dyDescent="0.3">
      <c r="A796" t="s">
        <v>802</v>
      </c>
    </row>
    <row r="797" spans="1:1" x14ac:dyDescent="0.3">
      <c r="A797" t="s">
        <v>803</v>
      </c>
    </row>
    <row r="798" spans="1:1" x14ac:dyDescent="0.3">
      <c r="A798" t="s">
        <v>804</v>
      </c>
    </row>
    <row r="799" spans="1:1" x14ac:dyDescent="0.3">
      <c r="A799" t="s">
        <v>805</v>
      </c>
    </row>
    <row r="800" spans="1:1" x14ac:dyDescent="0.3">
      <c r="A800" t="s">
        <v>806</v>
      </c>
    </row>
    <row r="801" spans="1:1" x14ac:dyDescent="0.3">
      <c r="A801" t="s">
        <v>807</v>
      </c>
    </row>
    <row r="802" spans="1:1" x14ac:dyDescent="0.3">
      <c r="A802" t="s">
        <v>808</v>
      </c>
    </row>
    <row r="803" spans="1:1" x14ac:dyDescent="0.3">
      <c r="A803" t="s">
        <v>809</v>
      </c>
    </row>
    <row r="804" spans="1:1" x14ac:dyDescent="0.3">
      <c r="A804" t="s">
        <v>810</v>
      </c>
    </row>
    <row r="805" spans="1:1" x14ac:dyDescent="0.3">
      <c r="A805" t="s">
        <v>811</v>
      </c>
    </row>
    <row r="806" spans="1:1" x14ac:dyDescent="0.3">
      <c r="A806" t="s">
        <v>812</v>
      </c>
    </row>
    <row r="807" spans="1:1" x14ac:dyDescent="0.3">
      <c r="A807" t="s">
        <v>813</v>
      </c>
    </row>
    <row r="808" spans="1:1" x14ac:dyDescent="0.3">
      <c r="A808" t="s">
        <v>814</v>
      </c>
    </row>
    <row r="809" spans="1:1" x14ac:dyDescent="0.3">
      <c r="A809" t="s">
        <v>815</v>
      </c>
    </row>
    <row r="810" spans="1:1" x14ac:dyDescent="0.3">
      <c r="A810" t="s">
        <v>816</v>
      </c>
    </row>
    <row r="811" spans="1:1" x14ac:dyDescent="0.3">
      <c r="A811" t="s">
        <v>817</v>
      </c>
    </row>
    <row r="812" spans="1:1" x14ac:dyDescent="0.3">
      <c r="A812" t="s">
        <v>818</v>
      </c>
    </row>
    <row r="813" spans="1:1" x14ac:dyDescent="0.3">
      <c r="A813" t="s">
        <v>819</v>
      </c>
    </row>
    <row r="814" spans="1:1" x14ac:dyDescent="0.3">
      <c r="A814" t="s">
        <v>820</v>
      </c>
    </row>
    <row r="815" spans="1:1" x14ac:dyDescent="0.3">
      <c r="A815" t="s">
        <v>821</v>
      </c>
    </row>
    <row r="816" spans="1:1" x14ac:dyDescent="0.3">
      <c r="A816" t="s">
        <v>822</v>
      </c>
    </row>
    <row r="817" spans="1:1" x14ac:dyDescent="0.3">
      <c r="A817" t="s">
        <v>823</v>
      </c>
    </row>
    <row r="818" spans="1:1" x14ac:dyDescent="0.3">
      <c r="A818" t="s">
        <v>824</v>
      </c>
    </row>
    <row r="819" spans="1:1" x14ac:dyDescent="0.3">
      <c r="A819" t="s">
        <v>825</v>
      </c>
    </row>
    <row r="820" spans="1:1" x14ac:dyDescent="0.3">
      <c r="A820" t="s">
        <v>826</v>
      </c>
    </row>
    <row r="821" spans="1:1" x14ac:dyDescent="0.3">
      <c r="A821" t="s">
        <v>827</v>
      </c>
    </row>
    <row r="822" spans="1:1" x14ac:dyDescent="0.3">
      <c r="A822" t="s">
        <v>828</v>
      </c>
    </row>
    <row r="823" spans="1:1" x14ac:dyDescent="0.3">
      <c r="A823" t="s">
        <v>829</v>
      </c>
    </row>
    <row r="824" spans="1:1" x14ac:dyDescent="0.3">
      <c r="A824" t="s">
        <v>830</v>
      </c>
    </row>
    <row r="825" spans="1:1" x14ac:dyDescent="0.3">
      <c r="A825" t="s">
        <v>831</v>
      </c>
    </row>
    <row r="826" spans="1:1" x14ac:dyDescent="0.3">
      <c r="A826" t="s">
        <v>832</v>
      </c>
    </row>
    <row r="827" spans="1:1" x14ac:dyDescent="0.3">
      <c r="A827" t="s">
        <v>833</v>
      </c>
    </row>
    <row r="828" spans="1:1" x14ac:dyDescent="0.3">
      <c r="A828" t="s">
        <v>834</v>
      </c>
    </row>
    <row r="829" spans="1:1" x14ac:dyDescent="0.3">
      <c r="A829" t="s">
        <v>835</v>
      </c>
    </row>
    <row r="830" spans="1:1" x14ac:dyDescent="0.3">
      <c r="A830" t="s">
        <v>836</v>
      </c>
    </row>
    <row r="831" spans="1:1" x14ac:dyDescent="0.3">
      <c r="A831" t="s">
        <v>837</v>
      </c>
    </row>
    <row r="832" spans="1:1" x14ac:dyDescent="0.3">
      <c r="A832" t="s">
        <v>838</v>
      </c>
    </row>
    <row r="833" spans="1:1" x14ac:dyDescent="0.3">
      <c r="A833" t="s">
        <v>839</v>
      </c>
    </row>
    <row r="834" spans="1:1" x14ac:dyDescent="0.3">
      <c r="A834" t="s">
        <v>840</v>
      </c>
    </row>
    <row r="835" spans="1:1" x14ac:dyDescent="0.3">
      <c r="A835" t="s">
        <v>841</v>
      </c>
    </row>
    <row r="836" spans="1:1" x14ac:dyDescent="0.3">
      <c r="A836" t="s">
        <v>842</v>
      </c>
    </row>
    <row r="837" spans="1:1" x14ac:dyDescent="0.3">
      <c r="A837" t="s">
        <v>843</v>
      </c>
    </row>
    <row r="838" spans="1:1" x14ac:dyDescent="0.3">
      <c r="A838" t="s">
        <v>844</v>
      </c>
    </row>
    <row r="839" spans="1:1" x14ac:dyDescent="0.3">
      <c r="A839" t="s">
        <v>845</v>
      </c>
    </row>
    <row r="840" spans="1:1" x14ac:dyDescent="0.3">
      <c r="A840" t="s">
        <v>846</v>
      </c>
    </row>
    <row r="841" spans="1:1" x14ac:dyDescent="0.3">
      <c r="A841" t="s">
        <v>847</v>
      </c>
    </row>
    <row r="842" spans="1:1" x14ac:dyDescent="0.3">
      <c r="A842" t="s">
        <v>848</v>
      </c>
    </row>
    <row r="843" spans="1:1" x14ac:dyDescent="0.3">
      <c r="A843" t="s">
        <v>849</v>
      </c>
    </row>
    <row r="844" spans="1:1" x14ac:dyDescent="0.3">
      <c r="A844" t="s">
        <v>850</v>
      </c>
    </row>
    <row r="845" spans="1:1" x14ac:dyDescent="0.3">
      <c r="A845" t="s">
        <v>851</v>
      </c>
    </row>
    <row r="846" spans="1:1" x14ac:dyDescent="0.3">
      <c r="A846" t="s">
        <v>852</v>
      </c>
    </row>
    <row r="847" spans="1:1" x14ac:dyDescent="0.3">
      <c r="A847" t="s">
        <v>853</v>
      </c>
    </row>
    <row r="848" spans="1:1" x14ac:dyDescent="0.3">
      <c r="A848" t="s">
        <v>854</v>
      </c>
    </row>
    <row r="849" spans="1:1" x14ac:dyDescent="0.3">
      <c r="A849" t="s">
        <v>855</v>
      </c>
    </row>
    <row r="850" spans="1:1" x14ac:dyDescent="0.3">
      <c r="A850" t="s">
        <v>856</v>
      </c>
    </row>
    <row r="851" spans="1:1" x14ac:dyDescent="0.3">
      <c r="A851" t="s">
        <v>857</v>
      </c>
    </row>
    <row r="852" spans="1:1" x14ac:dyDescent="0.3">
      <c r="A852" t="s">
        <v>858</v>
      </c>
    </row>
    <row r="853" spans="1:1" x14ac:dyDescent="0.3">
      <c r="A853" t="s">
        <v>859</v>
      </c>
    </row>
    <row r="854" spans="1:1" x14ac:dyDescent="0.3">
      <c r="A854" t="s">
        <v>860</v>
      </c>
    </row>
    <row r="855" spans="1:1" x14ac:dyDescent="0.3">
      <c r="A855" t="s">
        <v>861</v>
      </c>
    </row>
    <row r="856" spans="1:1" x14ac:dyDescent="0.3">
      <c r="A856" t="s">
        <v>862</v>
      </c>
    </row>
    <row r="857" spans="1:1" x14ac:dyDescent="0.3">
      <c r="A857" t="s">
        <v>863</v>
      </c>
    </row>
    <row r="858" spans="1:1" x14ac:dyDescent="0.3">
      <c r="A858" t="s">
        <v>864</v>
      </c>
    </row>
    <row r="859" spans="1:1" x14ac:dyDescent="0.3">
      <c r="A859" t="s">
        <v>865</v>
      </c>
    </row>
    <row r="860" spans="1:1" x14ac:dyDescent="0.3">
      <c r="A860" t="s">
        <v>866</v>
      </c>
    </row>
    <row r="861" spans="1:1" x14ac:dyDescent="0.3">
      <c r="A861" t="s">
        <v>867</v>
      </c>
    </row>
    <row r="862" spans="1:1" x14ac:dyDescent="0.3">
      <c r="A862" t="s">
        <v>868</v>
      </c>
    </row>
    <row r="863" spans="1:1" x14ac:dyDescent="0.3">
      <c r="A863" t="s">
        <v>869</v>
      </c>
    </row>
    <row r="864" spans="1:1" x14ac:dyDescent="0.3">
      <c r="A864" t="s">
        <v>870</v>
      </c>
    </row>
    <row r="865" spans="1:1" x14ac:dyDescent="0.3">
      <c r="A865" t="s">
        <v>871</v>
      </c>
    </row>
    <row r="866" spans="1:1" x14ac:dyDescent="0.3">
      <c r="A866" t="s">
        <v>872</v>
      </c>
    </row>
    <row r="867" spans="1:1" x14ac:dyDescent="0.3">
      <c r="A867" t="s">
        <v>873</v>
      </c>
    </row>
    <row r="868" spans="1:1" x14ac:dyDescent="0.3">
      <c r="A868" t="s">
        <v>874</v>
      </c>
    </row>
    <row r="869" spans="1:1" x14ac:dyDescent="0.3">
      <c r="A869" t="s">
        <v>875</v>
      </c>
    </row>
    <row r="870" spans="1:1" x14ac:dyDescent="0.3">
      <c r="A870" t="s">
        <v>876</v>
      </c>
    </row>
    <row r="871" spans="1:1" x14ac:dyDescent="0.3">
      <c r="A871" t="s">
        <v>877</v>
      </c>
    </row>
    <row r="872" spans="1:1" x14ac:dyDescent="0.3">
      <c r="A872" t="s">
        <v>878</v>
      </c>
    </row>
    <row r="873" spans="1:1" x14ac:dyDescent="0.3">
      <c r="A873" t="s">
        <v>879</v>
      </c>
    </row>
    <row r="874" spans="1:1" x14ac:dyDescent="0.3">
      <c r="A874" t="s">
        <v>880</v>
      </c>
    </row>
    <row r="875" spans="1:1" x14ac:dyDescent="0.3">
      <c r="A875" t="s">
        <v>881</v>
      </c>
    </row>
    <row r="876" spans="1:1" x14ac:dyDescent="0.3">
      <c r="A876" t="s">
        <v>882</v>
      </c>
    </row>
    <row r="877" spans="1:1" x14ac:dyDescent="0.3">
      <c r="A877" t="s">
        <v>883</v>
      </c>
    </row>
    <row r="878" spans="1:1" x14ac:dyDescent="0.3">
      <c r="A878" t="s">
        <v>884</v>
      </c>
    </row>
    <row r="879" spans="1:1" x14ac:dyDescent="0.3">
      <c r="A879" t="s">
        <v>885</v>
      </c>
    </row>
    <row r="880" spans="1:1" x14ac:dyDescent="0.3">
      <c r="A880" t="s">
        <v>886</v>
      </c>
    </row>
    <row r="881" spans="1:1" x14ac:dyDescent="0.3">
      <c r="A881" t="s">
        <v>887</v>
      </c>
    </row>
    <row r="882" spans="1:1" x14ac:dyDescent="0.3">
      <c r="A882" t="s">
        <v>888</v>
      </c>
    </row>
    <row r="883" spans="1:1" x14ac:dyDescent="0.3">
      <c r="A883" t="s">
        <v>889</v>
      </c>
    </row>
    <row r="884" spans="1:1" x14ac:dyDescent="0.3">
      <c r="A884" t="s">
        <v>890</v>
      </c>
    </row>
    <row r="885" spans="1:1" x14ac:dyDescent="0.3">
      <c r="A885" t="s">
        <v>891</v>
      </c>
    </row>
    <row r="886" spans="1:1" x14ac:dyDescent="0.3">
      <c r="A886" t="s">
        <v>892</v>
      </c>
    </row>
    <row r="887" spans="1:1" x14ac:dyDescent="0.3">
      <c r="A887" t="s">
        <v>893</v>
      </c>
    </row>
    <row r="888" spans="1:1" x14ac:dyDescent="0.3">
      <c r="A888" t="s">
        <v>894</v>
      </c>
    </row>
    <row r="889" spans="1:1" x14ac:dyDescent="0.3">
      <c r="A889" t="s">
        <v>895</v>
      </c>
    </row>
    <row r="890" spans="1:1" x14ac:dyDescent="0.3">
      <c r="A890" t="s">
        <v>896</v>
      </c>
    </row>
    <row r="891" spans="1:1" x14ac:dyDescent="0.3">
      <c r="A891" t="s">
        <v>897</v>
      </c>
    </row>
    <row r="892" spans="1:1" x14ac:dyDescent="0.3">
      <c r="A892" t="s">
        <v>898</v>
      </c>
    </row>
    <row r="893" spans="1:1" x14ac:dyDescent="0.3">
      <c r="A893" t="s">
        <v>899</v>
      </c>
    </row>
    <row r="894" spans="1:1" x14ac:dyDescent="0.3">
      <c r="A894" t="s">
        <v>900</v>
      </c>
    </row>
    <row r="895" spans="1:1" x14ac:dyDescent="0.3">
      <c r="A895" t="s">
        <v>901</v>
      </c>
    </row>
    <row r="896" spans="1:1" x14ac:dyDescent="0.3">
      <c r="A896" t="s">
        <v>902</v>
      </c>
    </row>
    <row r="897" spans="1:1" x14ac:dyDescent="0.3">
      <c r="A897" t="s">
        <v>903</v>
      </c>
    </row>
    <row r="898" spans="1:1" x14ac:dyDescent="0.3">
      <c r="A898" t="s">
        <v>904</v>
      </c>
    </row>
    <row r="899" spans="1:1" x14ac:dyDescent="0.3">
      <c r="A899" t="s">
        <v>905</v>
      </c>
    </row>
    <row r="900" spans="1:1" x14ac:dyDescent="0.3">
      <c r="A900" t="s">
        <v>906</v>
      </c>
    </row>
    <row r="901" spans="1:1" x14ac:dyDescent="0.3">
      <c r="A901" t="s">
        <v>907</v>
      </c>
    </row>
    <row r="902" spans="1:1" x14ac:dyDescent="0.3">
      <c r="A902" t="s">
        <v>908</v>
      </c>
    </row>
    <row r="903" spans="1:1" x14ac:dyDescent="0.3">
      <c r="A903" t="s">
        <v>909</v>
      </c>
    </row>
    <row r="904" spans="1:1" x14ac:dyDescent="0.3">
      <c r="A904" t="s">
        <v>910</v>
      </c>
    </row>
    <row r="905" spans="1:1" x14ac:dyDescent="0.3">
      <c r="A905" t="s">
        <v>911</v>
      </c>
    </row>
    <row r="906" spans="1:1" x14ac:dyDescent="0.3">
      <c r="A906" t="s">
        <v>912</v>
      </c>
    </row>
    <row r="907" spans="1:1" x14ac:dyDescent="0.3">
      <c r="A907" t="s">
        <v>913</v>
      </c>
    </row>
    <row r="908" spans="1:1" x14ac:dyDescent="0.3">
      <c r="A908" t="s">
        <v>914</v>
      </c>
    </row>
    <row r="909" spans="1:1" x14ac:dyDescent="0.3">
      <c r="A909" t="s">
        <v>915</v>
      </c>
    </row>
    <row r="910" spans="1:1" x14ac:dyDescent="0.3">
      <c r="A910" t="s">
        <v>916</v>
      </c>
    </row>
    <row r="911" spans="1:1" x14ac:dyDescent="0.3">
      <c r="A911" t="s">
        <v>917</v>
      </c>
    </row>
    <row r="912" spans="1:1" x14ac:dyDescent="0.3">
      <c r="A912" t="s">
        <v>918</v>
      </c>
    </row>
    <row r="913" spans="1:1" x14ac:dyDescent="0.3">
      <c r="A913" t="s">
        <v>919</v>
      </c>
    </row>
    <row r="914" spans="1:1" x14ac:dyDescent="0.3">
      <c r="A914" t="s">
        <v>920</v>
      </c>
    </row>
    <row r="915" spans="1:1" x14ac:dyDescent="0.3">
      <c r="A915" t="s">
        <v>921</v>
      </c>
    </row>
    <row r="916" spans="1:1" x14ac:dyDescent="0.3">
      <c r="A916" t="s">
        <v>922</v>
      </c>
    </row>
    <row r="917" spans="1:1" x14ac:dyDescent="0.3">
      <c r="A917" t="s">
        <v>923</v>
      </c>
    </row>
    <row r="918" spans="1:1" x14ac:dyDescent="0.3">
      <c r="A918" t="s">
        <v>924</v>
      </c>
    </row>
    <row r="919" spans="1:1" x14ac:dyDescent="0.3">
      <c r="A919" t="s">
        <v>925</v>
      </c>
    </row>
    <row r="920" spans="1:1" x14ac:dyDescent="0.3">
      <c r="A920" t="s">
        <v>926</v>
      </c>
    </row>
    <row r="921" spans="1:1" x14ac:dyDescent="0.3">
      <c r="A921" t="s">
        <v>927</v>
      </c>
    </row>
    <row r="922" spans="1:1" x14ac:dyDescent="0.3">
      <c r="A922" t="s">
        <v>928</v>
      </c>
    </row>
    <row r="923" spans="1:1" x14ac:dyDescent="0.3">
      <c r="A923" t="s">
        <v>929</v>
      </c>
    </row>
    <row r="924" spans="1:1" x14ac:dyDescent="0.3">
      <c r="A924" t="s">
        <v>930</v>
      </c>
    </row>
    <row r="925" spans="1:1" x14ac:dyDescent="0.3">
      <c r="A925" t="s">
        <v>931</v>
      </c>
    </row>
    <row r="926" spans="1:1" x14ac:dyDescent="0.3">
      <c r="A926" t="s">
        <v>932</v>
      </c>
    </row>
    <row r="927" spans="1:1" x14ac:dyDescent="0.3">
      <c r="A927" t="s">
        <v>933</v>
      </c>
    </row>
    <row r="928" spans="1:1" x14ac:dyDescent="0.3">
      <c r="A928" t="s">
        <v>934</v>
      </c>
    </row>
    <row r="929" spans="1:1" x14ac:dyDescent="0.3">
      <c r="A929" t="s">
        <v>935</v>
      </c>
    </row>
    <row r="930" spans="1:1" x14ac:dyDescent="0.3">
      <c r="A930" t="s">
        <v>936</v>
      </c>
    </row>
    <row r="931" spans="1:1" x14ac:dyDescent="0.3">
      <c r="A931" t="s">
        <v>937</v>
      </c>
    </row>
    <row r="932" spans="1:1" x14ac:dyDescent="0.3">
      <c r="A932" t="s">
        <v>938</v>
      </c>
    </row>
    <row r="933" spans="1:1" x14ac:dyDescent="0.3">
      <c r="A933" t="s">
        <v>939</v>
      </c>
    </row>
    <row r="934" spans="1:1" x14ac:dyDescent="0.3">
      <c r="A934" t="s">
        <v>940</v>
      </c>
    </row>
    <row r="935" spans="1:1" x14ac:dyDescent="0.3">
      <c r="A935" t="s">
        <v>941</v>
      </c>
    </row>
    <row r="936" spans="1:1" x14ac:dyDescent="0.3">
      <c r="A936" t="s">
        <v>942</v>
      </c>
    </row>
    <row r="937" spans="1:1" x14ac:dyDescent="0.3">
      <c r="A937" t="s">
        <v>943</v>
      </c>
    </row>
    <row r="938" spans="1:1" x14ac:dyDescent="0.3">
      <c r="A938" t="s">
        <v>944</v>
      </c>
    </row>
    <row r="939" spans="1:1" x14ac:dyDescent="0.3">
      <c r="A939" t="s">
        <v>945</v>
      </c>
    </row>
    <row r="940" spans="1:1" x14ac:dyDescent="0.3">
      <c r="A940" t="s">
        <v>946</v>
      </c>
    </row>
    <row r="941" spans="1:1" x14ac:dyDescent="0.3">
      <c r="A941" t="s">
        <v>947</v>
      </c>
    </row>
    <row r="942" spans="1:1" x14ac:dyDescent="0.3">
      <c r="A942" t="s">
        <v>948</v>
      </c>
    </row>
    <row r="943" spans="1:1" x14ac:dyDescent="0.3">
      <c r="A943" t="s">
        <v>949</v>
      </c>
    </row>
    <row r="944" spans="1:1" x14ac:dyDescent="0.3">
      <c r="A944" t="s">
        <v>950</v>
      </c>
    </row>
    <row r="945" spans="1:1" x14ac:dyDescent="0.3">
      <c r="A945" t="s">
        <v>951</v>
      </c>
    </row>
    <row r="946" spans="1:1" x14ac:dyDescent="0.3">
      <c r="A946" t="s">
        <v>952</v>
      </c>
    </row>
    <row r="947" spans="1:1" x14ac:dyDescent="0.3">
      <c r="A947" t="s">
        <v>953</v>
      </c>
    </row>
    <row r="948" spans="1:1" x14ac:dyDescent="0.3">
      <c r="A948" t="s">
        <v>954</v>
      </c>
    </row>
    <row r="949" spans="1:1" x14ac:dyDescent="0.3">
      <c r="A949" t="s">
        <v>955</v>
      </c>
    </row>
    <row r="950" spans="1:1" x14ac:dyDescent="0.3">
      <c r="A950" t="s">
        <v>956</v>
      </c>
    </row>
    <row r="951" spans="1:1" x14ac:dyDescent="0.3">
      <c r="A951" t="s">
        <v>957</v>
      </c>
    </row>
    <row r="952" spans="1:1" x14ac:dyDescent="0.3">
      <c r="A952" t="s">
        <v>958</v>
      </c>
    </row>
    <row r="953" spans="1:1" x14ac:dyDescent="0.3">
      <c r="A953" t="s">
        <v>959</v>
      </c>
    </row>
    <row r="954" spans="1:1" x14ac:dyDescent="0.3">
      <c r="A954" t="s">
        <v>960</v>
      </c>
    </row>
    <row r="955" spans="1:1" x14ac:dyDescent="0.3">
      <c r="A955" t="s">
        <v>961</v>
      </c>
    </row>
    <row r="956" spans="1:1" x14ac:dyDescent="0.3">
      <c r="A956" t="s">
        <v>962</v>
      </c>
    </row>
    <row r="957" spans="1:1" x14ac:dyDescent="0.3">
      <c r="A957" t="s">
        <v>963</v>
      </c>
    </row>
    <row r="958" spans="1:1" x14ac:dyDescent="0.3">
      <c r="A958" t="s">
        <v>964</v>
      </c>
    </row>
    <row r="959" spans="1:1" x14ac:dyDescent="0.3">
      <c r="A959" t="s">
        <v>965</v>
      </c>
    </row>
    <row r="960" spans="1:1" x14ac:dyDescent="0.3">
      <c r="A960" t="s">
        <v>966</v>
      </c>
    </row>
    <row r="961" spans="1:1" x14ac:dyDescent="0.3">
      <c r="A961" t="s">
        <v>967</v>
      </c>
    </row>
    <row r="962" spans="1:1" x14ac:dyDescent="0.3">
      <c r="A962" t="s">
        <v>968</v>
      </c>
    </row>
    <row r="963" spans="1:1" x14ac:dyDescent="0.3">
      <c r="A963" t="s">
        <v>969</v>
      </c>
    </row>
    <row r="964" spans="1:1" x14ac:dyDescent="0.3">
      <c r="A964" t="s">
        <v>970</v>
      </c>
    </row>
    <row r="965" spans="1:1" x14ac:dyDescent="0.3">
      <c r="A965" t="s">
        <v>971</v>
      </c>
    </row>
    <row r="966" spans="1:1" x14ac:dyDescent="0.3">
      <c r="A966" t="s">
        <v>972</v>
      </c>
    </row>
    <row r="967" spans="1:1" x14ac:dyDescent="0.3">
      <c r="A967" t="s">
        <v>973</v>
      </c>
    </row>
    <row r="968" spans="1:1" x14ac:dyDescent="0.3">
      <c r="A968" t="s">
        <v>974</v>
      </c>
    </row>
    <row r="969" spans="1:1" x14ac:dyDescent="0.3">
      <c r="A969" t="s">
        <v>975</v>
      </c>
    </row>
    <row r="970" spans="1:1" x14ac:dyDescent="0.3">
      <c r="A970" t="s">
        <v>976</v>
      </c>
    </row>
    <row r="971" spans="1:1" x14ac:dyDescent="0.3">
      <c r="A971" t="s">
        <v>977</v>
      </c>
    </row>
    <row r="972" spans="1:1" x14ac:dyDescent="0.3">
      <c r="A972" t="s">
        <v>978</v>
      </c>
    </row>
    <row r="973" spans="1:1" x14ac:dyDescent="0.3">
      <c r="A973" t="s">
        <v>979</v>
      </c>
    </row>
    <row r="974" spans="1:1" x14ac:dyDescent="0.3">
      <c r="A974" t="s">
        <v>980</v>
      </c>
    </row>
    <row r="975" spans="1:1" x14ac:dyDescent="0.3">
      <c r="A975" t="s">
        <v>981</v>
      </c>
    </row>
    <row r="976" spans="1:1" x14ac:dyDescent="0.3">
      <c r="A976" t="s">
        <v>982</v>
      </c>
    </row>
    <row r="977" spans="1:1" x14ac:dyDescent="0.3">
      <c r="A977" t="s">
        <v>983</v>
      </c>
    </row>
    <row r="978" spans="1:1" x14ac:dyDescent="0.3">
      <c r="A978" t="s">
        <v>984</v>
      </c>
    </row>
    <row r="979" spans="1:1" x14ac:dyDescent="0.3">
      <c r="A979" t="s">
        <v>985</v>
      </c>
    </row>
    <row r="980" spans="1:1" x14ac:dyDescent="0.3">
      <c r="A980" t="s">
        <v>986</v>
      </c>
    </row>
    <row r="981" spans="1:1" x14ac:dyDescent="0.3">
      <c r="A981" t="s">
        <v>987</v>
      </c>
    </row>
    <row r="982" spans="1:1" x14ac:dyDescent="0.3">
      <c r="A982" t="s">
        <v>988</v>
      </c>
    </row>
    <row r="983" spans="1:1" x14ac:dyDescent="0.3">
      <c r="A983" t="s">
        <v>989</v>
      </c>
    </row>
    <row r="984" spans="1:1" x14ac:dyDescent="0.3">
      <c r="A984" t="s">
        <v>990</v>
      </c>
    </row>
    <row r="985" spans="1:1" x14ac:dyDescent="0.3">
      <c r="A985" t="s">
        <v>991</v>
      </c>
    </row>
    <row r="986" spans="1:1" x14ac:dyDescent="0.3">
      <c r="A986" t="s">
        <v>992</v>
      </c>
    </row>
    <row r="987" spans="1:1" x14ac:dyDescent="0.3">
      <c r="A987" t="s">
        <v>993</v>
      </c>
    </row>
    <row r="988" spans="1:1" x14ac:dyDescent="0.3">
      <c r="A988" t="s">
        <v>994</v>
      </c>
    </row>
    <row r="989" spans="1:1" x14ac:dyDescent="0.3">
      <c r="A989" t="s">
        <v>995</v>
      </c>
    </row>
    <row r="990" spans="1:1" x14ac:dyDescent="0.3">
      <c r="A990" t="s">
        <v>996</v>
      </c>
    </row>
    <row r="991" spans="1:1" x14ac:dyDescent="0.3">
      <c r="A991" t="s">
        <v>997</v>
      </c>
    </row>
    <row r="992" spans="1:1" x14ac:dyDescent="0.3">
      <c r="A992" t="s">
        <v>998</v>
      </c>
    </row>
    <row r="993" spans="1:1" x14ac:dyDescent="0.3">
      <c r="A993" t="s">
        <v>999</v>
      </c>
    </row>
    <row r="994" spans="1:1" x14ac:dyDescent="0.3">
      <c r="A994" t="s">
        <v>1000</v>
      </c>
    </row>
    <row r="995" spans="1:1" x14ac:dyDescent="0.3">
      <c r="A995" t="s">
        <v>1001</v>
      </c>
    </row>
    <row r="996" spans="1:1" x14ac:dyDescent="0.3">
      <c r="A996" t="s">
        <v>1002</v>
      </c>
    </row>
    <row r="997" spans="1:1" x14ac:dyDescent="0.3">
      <c r="A997" t="s">
        <v>1003</v>
      </c>
    </row>
    <row r="998" spans="1:1" x14ac:dyDescent="0.3">
      <c r="A998" t="s">
        <v>1004</v>
      </c>
    </row>
    <row r="999" spans="1:1" x14ac:dyDescent="0.3">
      <c r="A999" t="s">
        <v>1005</v>
      </c>
    </row>
    <row r="1000" spans="1:1" x14ac:dyDescent="0.3">
      <c r="A1000" t="s">
        <v>1006</v>
      </c>
    </row>
    <row r="1001" spans="1:1" x14ac:dyDescent="0.3">
      <c r="A1001" t="s">
        <v>1007</v>
      </c>
    </row>
    <row r="1002" spans="1:1" x14ac:dyDescent="0.3">
      <c r="A1002" t="s">
        <v>1008</v>
      </c>
    </row>
    <row r="1003" spans="1:1" x14ac:dyDescent="0.3">
      <c r="A1003" t="s">
        <v>1009</v>
      </c>
    </row>
    <row r="1004" spans="1:1" x14ac:dyDescent="0.3">
      <c r="A1004" t="s">
        <v>1010</v>
      </c>
    </row>
    <row r="1005" spans="1:1" x14ac:dyDescent="0.3">
      <c r="A1005" t="s">
        <v>1011</v>
      </c>
    </row>
    <row r="1006" spans="1:1" x14ac:dyDescent="0.3">
      <c r="A1006" t="s">
        <v>1012</v>
      </c>
    </row>
    <row r="1007" spans="1:1" x14ac:dyDescent="0.3">
      <c r="A1007" t="s">
        <v>1013</v>
      </c>
    </row>
    <row r="1008" spans="1:1" x14ac:dyDescent="0.3">
      <c r="A1008" t="s">
        <v>1014</v>
      </c>
    </row>
    <row r="1009" spans="1:1" x14ac:dyDescent="0.3">
      <c r="A1009" t="s">
        <v>1015</v>
      </c>
    </row>
    <row r="1010" spans="1:1" x14ac:dyDescent="0.3">
      <c r="A1010" t="s">
        <v>1016</v>
      </c>
    </row>
    <row r="1011" spans="1:1" x14ac:dyDescent="0.3">
      <c r="A1011" t="s">
        <v>1017</v>
      </c>
    </row>
    <row r="1012" spans="1:1" x14ac:dyDescent="0.3">
      <c r="A1012" t="s">
        <v>1018</v>
      </c>
    </row>
    <row r="1013" spans="1:1" x14ac:dyDescent="0.3">
      <c r="A1013" t="s">
        <v>1019</v>
      </c>
    </row>
    <row r="1014" spans="1:1" x14ac:dyDescent="0.3">
      <c r="A1014" t="s">
        <v>1020</v>
      </c>
    </row>
    <row r="1015" spans="1:1" x14ac:dyDescent="0.3">
      <c r="A1015" t="s">
        <v>1021</v>
      </c>
    </row>
    <row r="1016" spans="1:1" x14ac:dyDescent="0.3">
      <c r="A1016" t="s">
        <v>1022</v>
      </c>
    </row>
    <row r="1017" spans="1:1" x14ac:dyDescent="0.3">
      <c r="A1017" t="s">
        <v>1023</v>
      </c>
    </row>
    <row r="1018" spans="1:1" x14ac:dyDescent="0.3">
      <c r="A1018" t="s">
        <v>1024</v>
      </c>
    </row>
    <row r="1019" spans="1:1" x14ac:dyDescent="0.3">
      <c r="A1019" t="s">
        <v>1025</v>
      </c>
    </row>
    <row r="1020" spans="1:1" x14ac:dyDescent="0.3">
      <c r="A1020" t="s">
        <v>1026</v>
      </c>
    </row>
    <row r="1021" spans="1:1" x14ac:dyDescent="0.3">
      <c r="A1021" t="s">
        <v>1027</v>
      </c>
    </row>
    <row r="1022" spans="1:1" x14ac:dyDescent="0.3">
      <c r="A1022" t="s">
        <v>1028</v>
      </c>
    </row>
    <row r="1023" spans="1:1" x14ac:dyDescent="0.3">
      <c r="A1023" t="s">
        <v>1029</v>
      </c>
    </row>
    <row r="1024" spans="1:1" x14ac:dyDescent="0.3">
      <c r="A1024" t="s">
        <v>1030</v>
      </c>
    </row>
    <row r="1025" spans="1:1" x14ac:dyDescent="0.3">
      <c r="A1025" t="s">
        <v>1031</v>
      </c>
    </row>
    <row r="1026" spans="1:1" x14ac:dyDescent="0.3">
      <c r="A1026" t="s">
        <v>1032</v>
      </c>
    </row>
    <row r="1027" spans="1:1" x14ac:dyDescent="0.3">
      <c r="A1027" t="s">
        <v>1033</v>
      </c>
    </row>
    <row r="1028" spans="1:1" x14ac:dyDescent="0.3">
      <c r="A1028" t="s">
        <v>1034</v>
      </c>
    </row>
    <row r="1029" spans="1:1" x14ac:dyDescent="0.3">
      <c r="A1029" t="s">
        <v>1035</v>
      </c>
    </row>
    <row r="1030" spans="1:1" x14ac:dyDescent="0.3">
      <c r="A1030" t="s">
        <v>1036</v>
      </c>
    </row>
    <row r="1031" spans="1:1" x14ac:dyDescent="0.3">
      <c r="A1031" t="s">
        <v>1037</v>
      </c>
    </row>
    <row r="1032" spans="1:1" x14ac:dyDescent="0.3">
      <c r="A1032" t="s">
        <v>1038</v>
      </c>
    </row>
    <row r="1033" spans="1:1" x14ac:dyDescent="0.3">
      <c r="A1033" t="s">
        <v>1039</v>
      </c>
    </row>
    <row r="1034" spans="1:1" x14ac:dyDescent="0.3">
      <c r="A1034" t="s">
        <v>1040</v>
      </c>
    </row>
    <row r="1035" spans="1:1" x14ac:dyDescent="0.3">
      <c r="A1035" t="s">
        <v>1041</v>
      </c>
    </row>
    <row r="1036" spans="1:1" x14ac:dyDescent="0.3">
      <c r="A1036" t="s">
        <v>1042</v>
      </c>
    </row>
    <row r="1037" spans="1:1" x14ac:dyDescent="0.3">
      <c r="A1037" t="s">
        <v>1043</v>
      </c>
    </row>
    <row r="1038" spans="1:1" x14ac:dyDescent="0.3">
      <c r="A1038" t="s">
        <v>1044</v>
      </c>
    </row>
    <row r="1039" spans="1:1" x14ac:dyDescent="0.3">
      <c r="A1039" t="s">
        <v>1045</v>
      </c>
    </row>
    <row r="1040" spans="1:1" x14ac:dyDescent="0.3">
      <c r="A1040" t="s">
        <v>1046</v>
      </c>
    </row>
    <row r="1041" spans="1:1" x14ac:dyDescent="0.3">
      <c r="A1041" t="s">
        <v>1047</v>
      </c>
    </row>
    <row r="1042" spans="1:1" x14ac:dyDescent="0.3">
      <c r="A1042" t="s">
        <v>1048</v>
      </c>
    </row>
    <row r="1043" spans="1:1" x14ac:dyDescent="0.3">
      <c r="A1043" t="s">
        <v>1049</v>
      </c>
    </row>
    <row r="1044" spans="1:1" x14ac:dyDescent="0.3">
      <c r="A1044" t="s">
        <v>1050</v>
      </c>
    </row>
    <row r="1045" spans="1:1" x14ac:dyDescent="0.3">
      <c r="A1045" t="s">
        <v>1051</v>
      </c>
    </row>
    <row r="1046" spans="1:1" x14ac:dyDescent="0.3">
      <c r="A1046" t="s">
        <v>1052</v>
      </c>
    </row>
    <row r="1047" spans="1:1" x14ac:dyDescent="0.3">
      <c r="A1047" t="s">
        <v>1053</v>
      </c>
    </row>
    <row r="1048" spans="1:1" x14ac:dyDescent="0.3">
      <c r="A1048" t="s">
        <v>1054</v>
      </c>
    </row>
    <row r="1049" spans="1:1" x14ac:dyDescent="0.3">
      <c r="A1049" t="s">
        <v>1055</v>
      </c>
    </row>
    <row r="1050" spans="1:1" x14ac:dyDescent="0.3">
      <c r="A1050" t="s">
        <v>1056</v>
      </c>
    </row>
    <row r="1051" spans="1:1" x14ac:dyDescent="0.3">
      <c r="A1051" t="s">
        <v>1057</v>
      </c>
    </row>
    <row r="1052" spans="1:1" x14ac:dyDescent="0.3">
      <c r="A1052" t="s">
        <v>1058</v>
      </c>
    </row>
    <row r="1053" spans="1:1" x14ac:dyDescent="0.3">
      <c r="A1053" t="s">
        <v>1059</v>
      </c>
    </row>
    <row r="1054" spans="1:1" x14ac:dyDescent="0.3">
      <c r="A1054" t="s">
        <v>1060</v>
      </c>
    </row>
    <row r="1055" spans="1:1" x14ac:dyDescent="0.3">
      <c r="A1055" t="s">
        <v>1061</v>
      </c>
    </row>
    <row r="1056" spans="1:1" x14ac:dyDescent="0.3">
      <c r="A1056" t="s">
        <v>1062</v>
      </c>
    </row>
    <row r="1057" spans="1:1" x14ac:dyDescent="0.3">
      <c r="A1057" t="s">
        <v>1063</v>
      </c>
    </row>
    <row r="1058" spans="1:1" x14ac:dyDescent="0.3">
      <c r="A1058" t="s">
        <v>1064</v>
      </c>
    </row>
    <row r="1059" spans="1:1" x14ac:dyDescent="0.3">
      <c r="A1059" t="s">
        <v>1065</v>
      </c>
    </row>
    <row r="1060" spans="1:1" x14ac:dyDescent="0.3">
      <c r="A1060" t="s">
        <v>1066</v>
      </c>
    </row>
    <row r="1061" spans="1:1" x14ac:dyDescent="0.3">
      <c r="A1061" t="s">
        <v>1067</v>
      </c>
    </row>
    <row r="1062" spans="1:1" x14ac:dyDescent="0.3">
      <c r="A1062" t="s">
        <v>1068</v>
      </c>
    </row>
    <row r="1063" spans="1:1" x14ac:dyDescent="0.3">
      <c r="A1063" t="s">
        <v>1069</v>
      </c>
    </row>
    <row r="1064" spans="1:1" x14ac:dyDescent="0.3">
      <c r="A1064" t="s">
        <v>1070</v>
      </c>
    </row>
    <row r="1065" spans="1:1" x14ac:dyDescent="0.3">
      <c r="A1065" t="s">
        <v>1071</v>
      </c>
    </row>
    <row r="1066" spans="1:1" x14ac:dyDescent="0.3">
      <c r="A1066" t="s">
        <v>1072</v>
      </c>
    </row>
    <row r="1067" spans="1:1" x14ac:dyDescent="0.3">
      <c r="A1067" t="s">
        <v>1073</v>
      </c>
    </row>
    <row r="1068" spans="1:1" x14ac:dyDescent="0.3">
      <c r="A1068" t="s">
        <v>1074</v>
      </c>
    </row>
    <row r="1069" spans="1:1" x14ac:dyDescent="0.3">
      <c r="A1069" t="s">
        <v>1075</v>
      </c>
    </row>
    <row r="1070" spans="1:1" x14ac:dyDescent="0.3">
      <c r="A1070" t="s">
        <v>1076</v>
      </c>
    </row>
    <row r="1071" spans="1:1" x14ac:dyDescent="0.3">
      <c r="A1071" t="s">
        <v>1077</v>
      </c>
    </row>
    <row r="1072" spans="1:1" x14ac:dyDescent="0.3">
      <c r="A1072" t="s">
        <v>1078</v>
      </c>
    </row>
    <row r="1073" spans="1:1" x14ac:dyDescent="0.3">
      <c r="A1073" t="s">
        <v>1079</v>
      </c>
    </row>
    <row r="1074" spans="1:1" x14ac:dyDescent="0.3">
      <c r="A1074" t="s">
        <v>1080</v>
      </c>
    </row>
    <row r="1075" spans="1:1" x14ac:dyDescent="0.3">
      <c r="A1075" t="s">
        <v>1081</v>
      </c>
    </row>
    <row r="1076" spans="1:1" x14ac:dyDescent="0.3">
      <c r="A1076" t="s">
        <v>1082</v>
      </c>
    </row>
    <row r="1077" spans="1:1" x14ac:dyDescent="0.3">
      <c r="A1077" t="s">
        <v>1083</v>
      </c>
    </row>
    <row r="1078" spans="1:1" x14ac:dyDescent="0.3">
      <c r="A1078" t="s">
        <v>1084</v>
      </c>
    </row>
    <row r="1079" spans="1:1" x14ac:dyDescent="0.3">
      <c r="A1079" t="s">
        <v>1085</v>
      </c>
    </row>
    <row r="1080" spans="1:1" x14ac:dyDescent="0.3">
      <c r="A1080" t="s">
        <v>1086</v>
      </c>
    </row>
    <row r="1081" spans="1:1" x14ac:dyDescent="0.3">
      <c r="A1081" t="s">
        <v>1087</v>
      </c>
    </row>
    <row r="1082" spans="1:1" x14ac:dyDescent="0.3">
      <c r="A1082" t="s">
        <v>1088</v>
      </c>
    </row>
    <row r="1083" spans="1:1" x14ac:dyDescent="0.3">
      <c r="A1083" t="s">
        <v>1089</v>
      </c>
    </row>
    <row r="1084" spans="1:1" x14ac:dyDescent="0.3">
      <c r="A1084" t="s">
        <v>1090</v>
      </c>
    </row>
    <row r="1085" spans="1:1" x14ac:dyDescent="0.3">
      <c r="A1085" t="s">
        <v>1091</v>
      </c>
    </row>
    <row r="1086" spans="1:1" x14ac:dyDescent="0.3">
      <c r="A1086" t="s">
        <v>1092</v>
      </c>
    </row>
    <row r="1087" spans="1:1" x14ac:dyDescent="0.3">
      <c r="A1087" t="s">
        <v>1093</v>
      </c>
    </row>
    <row r="1088" spans="1:1" x14ac:dyDescent="0.3">
      <c r="A1088" t="s">
        <v>1094</v>
      </c>
    </row>
    <row r="1089" spans="1:1" x14ac:dyDescent="0.3">
      <c r="A1089" t="s">
        <v>1095</v>
      </c>
    </row>
    <row r="1090" spans="1:1" x14ac:dyDescent="0.3">
      <c r="A1090" t="s">
        <v>1096</v>
      </c>
    </row>
    <row r="1091" spans="1:1" x14ac:dyDescent="0.3">
      <c r="A1091" t="s">
        <v>1097</v>
      </c>
    </row>
    <row r="1092" spans="1:1" x14ac:dyDescent="0.3">
      <c r="A1092" t="s">
        <v>1098</v>
      </c>
    </row>
    <row r="1093" spans="1:1" x14ac:dyDescent="0.3">
      <c r="A1093" t="s">
        <v>1099</v>
      </c>
    </row>
    <row r="1094" spans="1:1" x14ac:dyDescent="0.3">
      <c r="A1094" t="s">
        <v>1100</v>
      </c>
    </row>
    <row r="1095" spans="1:1" x14ac:dyDescent="0.3">
      <c r="A1095" t="s">
        <v>1101</v>
      </c>
    </row>
    <row r="1096" spans="1:1" x14ac:dyDescent="0.3">
      <c r="A1096" t="s">
        <v>1102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BF70E-9893-4D5D-A8A5-DAE330D02B8A}">
  <sheetPr codeName="Лист5"/>
  <dimension ref="C1:J25"/>
  <sheetViews>
    <sheetView tabSelected="1" workbookViewId="0">
      <selection activeCell="M20" sqref="M20"/>
    </sheetView>
  </sheetViews>
  <sheetFormatPr defaultRowHeight="15.75" x14ac:dyDescent="0.3"/>
  <cols>
    <col min="4" max="5" width="10.33203125" customWidth="1"/>
  </cols>
  <sheetData>
    <row r="1" spans="4:7" ht="15" customHeight="1" x14ac:dyDescent="0.3">
      <c r="D1" s="22" t="s">
        <v>1146</v>
      </c>
      <c r="E1" s="22"/>
      <c r="F1" s="22"/>
      <c r="G1" s="24">
        <f>GETPIVOTDATA("№",Analytics!$H$15)</f>
        <v>1</v>
      </c>
    </row>
    <row r="2" spans="4:7" ht="15" customHeight="1" x14ac:dyDescent="0.3">
      <c r="D2" s="22"/>
      <c r="E2" s="22"/>
      <c r="F2" s="22"/>
      <c r="G2" s="24"/>
    </row>
    <row r="3" spans="4:7" x14ac:dyDescent="0.3">
      <c r="D3" s="23" t="s">
        <v>1147</v>
      </c>
      <c r="E3" s="23"/>
      <c r="F3" s="23"/>
      <c r="G3" s="21">
        <f>GETPIVOTDATA("Estimated Value",Analytics!$H$15)</f>
        <v>0</v>
      </c>
    </row>
    <row r="4" spans="4:7" x14ac:dyDescent="0.3">
      <c r="D4" s="23"/>
      <c r="E4" s="23"/>
      <c r="F4" s="23"/>
      <c r="G4" s="21"/>
    </row>
    <row r="5" spans="4:7" x14ac:dyDescent="0.3">
      <c r="D5" s="19" t="s">
        <v>1148</v>
      </c>
      <c r="E5" s="19"/>
      <c r="F5" s="19"/>
      <c r="G5" s="20">
        <f>ROUND(GETPIVOTDATA("Estimated Value",Analytics!$L$1),0)</f>
        <v>0</v>
      </c>
    </row>
    <row r="6" spans="4:7" x14ac:dyDescent="0.3">
      <c r="D6" s="19"/>
      <c r="E6" s="19"/>
      <c r="F6" s="19"/>
      <c r="G6" s="20"/>
    </row>
    <row r="7" spans="4:7" x14ac:dyDescent="0.3">
      <c r="D7" s="23" t="s">
        <v>1149</v>
      </c>
      <c r="E7" s="23"/>
      <c r="F7" s="23"/>
      <c r="G7" s="21">
        <f>GETPIVOTDATA("Purchase price",Analytics!$H$15)</f>
        <v>0</v>
      </c>
    </row>
    <row r="8" spans="4:7" x14ac:dyDescent="0.3">
      <c r="D8" s="23"/>
      <c r="E8" s="23"/>
      <c r="F8" s="23"/>
      <c r="G8" s="21"/>
    </row>
    <row r="9" spans="4:7" x14ac:dyDescent="0.3">
      <c r="D9" s="19" t="s">
        <v>1150</v>
      </c>
      <c r="E9" s="19"/>
      <c r="F9" s="19"/>
      <c r="G9" s="20">
        <f>ROUND(GETPIVOTDATA("Purchase price",Analytics!$O$1),0)</f>
        <v>0</v>
      </c>
    </row>
    <row r="10" spans="4:7" x14ac:dyDescent="0.3">
      <c r="D10" s="19"/>
      <c r="E10" s="19"/>
      <c r="F10" s="19"/>
      <c r="G10" s="20"/>
    </row>
    <row r="13" spans="4:7" ht="15" customHeight="1" x14ac:dyDescent="0.3">
      <c r="D13" s="27" t="e" vm="1">
        <v>#VALUE!</v>
      </c>
      <c r="E13" s="25" t="s">
        <v>1151</v>
      </c>
      <c r="F13" s="25"/>
      <c r="G13" s="21">
        <f>ROUND(GETPIVOTDATA("Condition",Analytics!$T$1),2)</f>
        <v>10</v>
      </c>
    </row>
    <row r="14" spans="4:7" ht="15" customHeight="1" x14ac:dyDescent="0.3">
      <c r="D14" s="27"/>
      <c r="E14" s="25"/>
      <c r="F14" s="25"/>
      <c r="G14" s="21"/>
    </row>
    <row r="15" spans="4:7" ht="15" customHeight="1" x14ac:dyDescent="0.3">
      <c r="D15" s="28" t="e" vm="2">
        <v>#VALUE!</v>
      </c>
      <c r="E15" s="26" t="s">
        <v>1152</v>
      </c>
      <c r="F15" s="26"/>
      <c r="G15" s="21">
        <f>ROUND(GETPIVOTDATA("Love",Analytics!$T$23),2)</f>
        <v>10</v>
      </c>
    </row>
    <row r="16" spans="4:7" ht="15" customHeight="1" x14ac:dyDescent="0.3">
      <c r="D16" s="28"/>
      <c r="E16" s="26"/>
      <c r="F16" s="26"/>
      <c r="G16" s="21"/>
    </row>
    <row r="18" spans="3:10" ht="15.75" customHeight="1" x14ac:dyDescent="0.3">
      <c r="C18" s="28"/>
      <c r="D18" s="30" t="s">
        <v>1154</v>
      </c>
      <c r="E18" s="30"/>
      <c r="F18" s="30"/>
      <c r="G18" s="30" t="s">
        <v>1153</v>
      </c>
      <c r="H18" s="30"/>
    </row>
    <row r="19" spans="3:10" ht="15.75" customHeight="1" x14ac:dyDescent="0.3">
      <c r="C19" s="28"/>
      <c r="D19" s="30"/>
      <c r="E19" s="30"/>
      <c r="F19" s="30"/>
      <c r="G19" s="30"/>
      <c r="H19" s="30"/>
    </row>
    <row r="20" spans="3:10" ht="30" customHeight="1" x14ac:dyDescent="0.3">
      <c r="D20" s="6" t="str">
        <f>Analytics!E16</f>
        <v>pikachu</v>
      </c>
      <c r="F20" s="16">
        <f>INDEX(Analytics!$F$16:$F$18,1)</f>
        <v>1</v>
      </c>
      <c r="G20" s="29" t="str">
        <f>Analytics!A2</f>
        <v>Banpresto</v>
      </c>
      <c r="H20" s="29"/>
    </row>
    <row r="21" spans="3:10" ht="30" customHeight="1" x14ac:dyDescent="0.3">
      <c r="D21" s="6" t="str">
        <f>Analytics!E17</f>
        <v>Общий итог</v>
      </c>
      <c r="F21" s="16">
        <f>INDEX(Analytics!$F$16:$F$18,2)</f>
        <v>1</v>
      </c>
      <c r="G21" s="29" t="str">
        <f>Analytics!A3</f>
        <v>Grand Total</v>
      </c>
      <c r="H21" s="29"/>
    </row>
    <row r="22" spans="3:10" ht="30" customHeight="1" x14ac:dyDescent="0.3">
      <c r="D22" s="6">
        <f>Analytics!E18</f>
        <v>0</v>
      </c>
      <c r="F22" s="16">
        <f>INDEX(Analytics!$F$16:$F$18,3)</f>
        <v>0</v>
      </c>
      <c r="G22" s="29">
        <f>Analytics!A4</f>
        <v>0</v>
      </c>
      <c r="H22" s="29"/>
    </row>
    <row r="23" spans="3:10" x14ac:dyDescent="0.3">
      <c r="H23" s="14"/>
      <c r="J23" s="15"/>
    </row>
    <row r="25" spans="3:10" x14ac:dyDescent="0.3">
      <c r="H25" s="14"/>
      <c r="J25" s="15"/>
    </row>
  </sheetData>
  <mergeCells count="22">
    <mergeCell ref="C18:C19"/>
    <mergeCell ref="G20:H20"/>
    <mergeCell ref="G21:H21"/>
    <mergeCell ref="G22:H22"/>
    <mergeCell ref="G18:H19"/>
    <mergeCell ref="D18:F19"/>
    <mergeCell ref="G15:G16"/>
    <mergeCell ref="E13:F14"/>
    <mergeCell ref="E15:F16"/>
    <mergeCell ref="D13:D14"/>
    <mergeCell ref="D15:D16"/>
    <mergeCell ref="D9:F10"/>
    <mergeCell ref="G9:G10"/>
    <mergeCell ref="G13:G14"/>
    <mergeCell ref="D1:F2"/>
    <mergeCell ref="D3:F4"/>
    <mergeCell ref="G1:G2"/>
    <mergeCell ref="G3:G4"/>
    <mergeCell ref="D7:F8"/>
    <mergeCell ref="G7:G8"/>
    <mergeCell ref="D5:F6"/>
    <mergeCell ref="G5:G6"/>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11DCD-165C-4ECA-87A0-E437F59ADB25}">
  <sheetPr codeName="Лист6"/>
  <dimension ref="A1:D15"/>
  <sheetViews>
    <sheetView workbookViewId="0">
      <selection activeCell="D1" sqref="D1"/>
    </sheetView>
  </sheetViews>
  <sheetFormatPr defaultRowHeight="15.75" x14ac:dyDescent="0.3"/>
  <cols>
    <col min="1" max="1" width="11.109375" customWidth="1"/>
    <col min="2" max="2" width="15.5546875" customWidth="1"/>
    <col min="3" max="3" width="11.21875" customWidth="1"/>
    <col min="4" max="4" width="4.88671875" customWidth="1"/>
    <col min="5" max="5" width="8.88671875" customWidth="1"/>
  </cols>
  <sheetData>
    <row r="1" spans="1:4" s="4" customFormat="1" x14ac:dyDescent="0.3">
      <c r="A1" s="4" t="s">
        <v>1114</v>
      </c>
      <c r="B1" s="4" t="s">
        <v>1115</v>
      </c>
      <c r="C1" s="4" t="s">
        <v>1121</v>
      </c>
      <c r="D1" s="4" t="s">
        <v>1140</v>
      </c>
    </row>
    <row r="2" spans="1:4" x14ac:dyDescent="0.3">
      <c r="A2" t="s">
        <v>1127</v>
      </c>
      <c r="B2" t="s">
        <v>1</v>
      </c>
      <c r="C2" t="s">
        <v>1137</v>
      </c>
      <c r="D2" t="s">
        <v>6</v>
      </c>
    </row>
    <row r="3" spans="1:4" x14ac:dyDescent="0.3">
      <c r="A3" t="s">
        <v>1128</v>
      </c>
      <c r="B3" t="s">
        <v>2</v>
      </c>
      <c r="C3" t="s">
        <v>1138</v>
      </c>
    </row>
    <row r="4" spans="1:4" x14ac:dyDescent="0.3">
      <c r="A4" t="s">
        <v>1131</v>
      </c>
      <c r="B4" t="s">
        <v>1108</v>
      </c>
      <c r="C4" t="s">
        <v>1139</v>
      </c>
    </row>
    <row r="5" spans="1:4" x14ac:dyDescent="0.3">
      <c r="A5" t="s">
        <v>1129</v>
      </c>
      <c r="B5" t="s">
        <v>3</v>
      </c>
      <c r="C5" t="s">
        <v>3</v>
      </c>
    </row>
    <row r="6" spans="1:4" x14ac:dyDescent="0.3">
      <c r="A6" t="s">
        <v>1130</v>
      </c>
      <c r="B6" t="s">
        <v>4</v>
      </c>
      <c r="C6" t="s">
        <v>1141</v>
      </c>
    </row>
    <row r="7" spans="1:4" x14ac:dyDescent="0.3">
      <c r="A7" t="s">
        <v>1132</v>
      </c>
      <c r="B7" t="s">
        <v>5</v>
      </c>
      <c r="C7" t="s">
        <v>1136</v>
      </c>
    </row>
    <row r="8" spans="1:4" x14ac:dyDescent="0.3">
      <c r="A8" t="s">
        <v>1133</v>
      </c>
      <c r="B8" t="s">
        <v>1104</v>
      </c>
    </row>
    <row r="9" spans="1:4" x14ac:dyDescent="0.3">
      <c r="A9" t="s">
        <v>1134</v>
      </c>
      <c r="B9" t="s">
        <v>1105</v>
      </c>
    </row>
    <row r="10" spans="1:4" x14ac:dyDescent="0.3">
      <c r="A10" t="s">
        <v>1136</v>
      </c>
      <c r="B10" t="s">
        <v>1109</v>
      </c>
    </row>
    <row r="11" spans="1:4" x14ac:dyDescent="0.3">
      <c r="B11" t="s">
        <v>1110</v>
      </c>
    </row>
    <row r="12" spans="1:4" x14ac:dyDescent="0.3">
      <c r="B12" t="s">
        <v>1106</v>
      </c>
    </row>
    <row r="13" spans="1:4" x14ac:dyDescent="0.3">
      <c r="B13" t="s">
        <v>1107</v>
      </c>
    </row>
    <row r="14" spans="1:4" x14ac:dyDescent="0.3">
      <c r="B14" t="s">
        <v>1135</v>
      </c>
    </row>
    <row r="15" spans="1:4" x14ac:dyDescent="0.3">
      <c r="B15" t="s">
        <v>1136</v>
      </c>
    </row>
  </sheetData>
  <pageMargins left="0.7" right="0.7" top="0.75" bottom="0.75" header="0.3" footer="0.3"/>
  <pageSetup paperSize="9" orientation="portrait"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0EB9D-DE4B-45AA-8C61-87359FB3B743}">
  <sheetPr codeName="Лист4"/>
  <dimension ref="A1:T24"/>
  <sheetViews>
    <sheetView topLeftCell="B1" workbookViewId="0">
      <selection activeCell="H15" sqref="H15:K17"/>
    </sheetView>
  </sheetViews>
  <sheetFormatPr defaultRowHeight="15.75" x14ac:dyDescent="0.3"/>
  <cols>
    <col min="1" max="1" width="18.21875" bestFit="1" customWidth="1"/>
    <col min="2" max="2" width="7.33203125" bestFit="1" customWidth="1"/>
    <col min="5" max="5" width="14.5546875" bestFit="1" customWidth="1"/>
    <col min="6" max="6" width="14.6640625" bestFit="1" customWidth="1"/>
    <col min="7" max="7" width="17.21875" bestFit="1" customWidth="1"/>
    <col min="8" max="8" width="10.44140625" bestFit="1" customWidth="1"/>
    <col min="9" max="9" width="7.33203125" bestFit="1" customWidth="1"/>
    <col min="10" max="10" width="20.6640625" bestFit="1" customWidth="1"/>
    <col min="11" max="11" width="19.5546875" bestFit="1" customWidth="1"/>
    <col min="12" max="12" width="23.6640625" bestFit="1" customWidth="1"/>
    <col min="13" max="13" width="24.21875" bestFit="1" customWidth="1"/>
    <col min="15" max="15" width="22.5546875" bestFit="1" customWidth="1"/>
    <col min="18" max="18" width="14.109375" bestFit="1" customWidth="1"/>
    <col min="20" max="20" width="14.109375" bestFit="1" customWidth="1"/>
  </cols>
  <sheetData>
    <row r="1" spans="1:20" x14ac:dyDescent="0.3">
      <c r="A1" s="12" t="s">
        <v>1142</v>
      </c>
      <c r="B1" t="s">
        <v>1145</v>
      </c>
      <c r="L1" t="s">
        <v>1161</v>
      </c>
      <c r="O1" t="s">
        <v>1159</v>
      </c>
      <c r="T1" t="s">
        <v>1157</v>
      </c>
    </row>
    <row r="2" spans="1:20" x14ac:dyDescent="0.3">
      <c r="A2" s="13" t="s">
        <v>1</v>
      </c>
      <c r="B2" s="31">
        <v>1</v>
      </c>
      <c r="L2" s="31">
        <v>0</v>
      </c>
      <c r="O2" s="31">
        <v>0</v>
      </c>
      <c r="T2" s="31">
        <v>10</v>
      </c>
    </row>
    <row r="3" spans="1:20" x14ac:dyDescent="0.3">
      <c r="A3" s="13" t="s">
        <v>1155</v>
      </c>
      <c r="B3" s="31">
        <v>1</v>
      </c>
    </row>
    <row r="15" spans="1:20" x14ac:dyDescent="0.3">
      <c r="E15" s="12" t="s">
        <v>1143</v>
      </c>
      <c r="F15" t="s">
        <v>1156</v>
      </c>
      <c r="H15" s="12" t="s">
        <v>1144</v>
      </c>
      <c r="I15" t="s">
        <v>1145</v>
      </c>
      <c r="J15" t="s">
        <v>1160</v>
      </c>
      <c r="K15" t="s">
        <v>1158</v>
      </c>
    </row>
    <row r="16" spans="1:20" x14ac:dyDescent="0.3">
      <c r="E16" s="13" t="s">
        <v>703</v>
      </c>
      <c r="F16" s="31">
        <v>1</v>
      </c>
      <c r="H16" s="18">
        <v>45292</v>
      </c>
      <c r="I16" s="31">
        <v>1</v>
      </c>
      <c r="J16" s="31">
        <v>0</v>
      </c>
      <c r="K16" s="31">
        <v>0</v>
      </c>
    </row>
    <row r="17" spans="5:20" x14ac:dyDescent="0.3">
      <c r="E17" s="13" t="s">
        <v>1164</v>
      </c>
      <c r="F17" s="31">
        <v>1</v>
      </c>
      <c r="H17" s="18" t="s">
        <v>1155</v>
      </c>
      <c r="I17" s="31">
        <v>1</v>
      </c>
      <c r="J17" s="31">
        <v>0</v>
      </c>
      <c r="K17" s="31">
        <v>0</v>
      </c>
    </row>
    <row r="23" spans="5:20" x14ac:dyDescent="0.3">
      <c r="T23" t="s">
        <v>1163</v>
      </c>
    </row>
    <row r="24" spans="5:20" x14ac:dyDescent="0.3">
      <c r="T24" s="31">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6</vt:i4>
      </vt:variant>
    </vt:vector>
  </HeadingPairs>
  <TitlesOfParts>
    <vt:vector size="11" baseType="lpstr">
      <vt:lpstr>Main Sheet</vt:lpstr>
      <vt:lpstr>Pokemons</vt:lpstr>
      <vt:lpstr>Dashboard</vt:lpstr>
      <vt:lpstr>Lists</vt:lpstr>
      <vt:lpstr>Analytics</vt:lpstr>
      <vt:lpstr>Lists!ГдеКуплен</vt:lpstr>
      <vt:lpstr>Lists!Категория</vt:lpstr>
      <vt:lpstr>Lists!Покемоны</vt:lpstr>
      <vt:lpstr>Покемоны</vt:lpstr>
      <vt:lpstr>Lists!Производитель</vt:lpstr>
      <vt:lpstr>Lists!Тэг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Вероника</dc:creator>
  <cp:lastModifiedBy>Бородулина Вероника Александровна</cp:lastModifiedBy>
  <cp:lastPrinted>2024-06-14T15:43:30Z</cp:lastPrinted>
  <dcterms:created xsi:type="dcterms:W3CDTF">2015-06-05T18:17:20Z</dcterms:created>
  <dcterms:modified xsi:type="dcterms:W3CDTF">2024-06-17T14:30:05Z</dcterms:modified>
</cp:coreProperties>
</file>